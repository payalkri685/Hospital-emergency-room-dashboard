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0df590ac54f5b258/Documents/"/>
    </mc:Choice>
  </mc:AlternateContent>
  <xr:revisionPtr revIDLastSave="1205" documentId="8_{83B93F76-CC00-45B2-A6C6-58CD6CBBFD5D}" xr6:coauthVersionLast="47" xr6:coauthVersionMax="47" xr10:uidLastSave="{7DB00AD9-8313-49F0-9ED7-769EB0B4742F}"/>
  <bookViews>
    <workbookView xWindow="-108" yWindow="-108" windowWidth="23256" windowHeight="12456" activeTab="4" xr2:uid="{608155C6-A053-49A2-A254-0F82F3CFC01F}"/>
  </bookViews>
  <sheets>
    <sheet name="pivot report" sheetId="1" r:id="rId1"/>
    <sheet name="patient satisfaction" sheetId="5" r:id="rId2"/>
    <sheet name="daily er patient" sheetId="3" r:id="rId3"/>
    <sheet name="patient waittime" sheetId="4" r:id="rId4"/>
    <sheet name="dashboard" sheetId="2"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3e2fc805-8fd1-4f82-9be6-dde1ea0aede2" name="Hospital Emergency Room Data" connection="Query - Hospital Emergency Room Data"/>
          <x15:modelTable id="calender_table_c31bbc3f-038f-43ef-a4a8-aa2c61fd216d" name="calender_table" connection="Query - calender_table"/>
        </x15:modelTables>
        <x15:modelRelationships>
          <x15:modelRelationship fromTable="Hospital Emergency Room Data" fromColumn="Patient Admission Date.1"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0" i="1" l="1"/>
  <c r="C40" i="1"/>
  <c r="B39" i="1"/>
  <c r="C39" i="1"/>
  <c r="A39" i="1"/>
  <c r="A4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94D1BCB-7EA0-4192-8744-D0FC47CC73D4}" name="Query - calender_table" description="Connection to the 'calender_table' query in the workbook." type="100" refreshedVersion="8" minRefreshableVersion="5">
    <extLst>
      <ext xmlns:x15="http://schemas.microsoft.com/office/spreadsheetml/2010/11/main" uri="{DE250136-89BD-433C-8126-D09CA5730AF9}">
        <x15:connection id="acfd43e3-6c80-44e4-becf-d575ad97d0e7"/>
      </ext>
    </extLst>
  </connection>
  <connection id="2" xr16:uid="{A28B5811-2913-4EC9-ADC7-CA7E56000131}"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b2459c0a-caa5-4010-a328-0e5109c2185b"/>
      </ext>
    </extLst>
  </connection>
  <connection id="3" xr16:uid="{C6633294-D4E6-45D6-B635-5FAC1E661D3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<sst xmlns="http://schemas.openxmlformats.org/spreadsheetml/2006/main" count="152" uniqueCount="70">
  <si>
    <t>Distinct Count of Patient Id</t>
  </si>
  <si>
    <t>No. of patients</t>
  </si>
  <si>
    <t>Average of Patient Waittime</t>
  </si>
  <si>
    <t>Average of Patient Satisfaction Score</t>
  </si>
  <si>
    <t>Row Labels</t>
  </si>
  <si>
    <t>Grand Total</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</si>
  <si>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</si>
  <si>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</si>
  <si>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</si>
  <si>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</si>
  <si>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</si>
  <si>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</si>
  <si>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</si>
  <si>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</si>
  <si>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</si>
  <si>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</si>
  <si>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</si>
  <si>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</si>
  <si>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</si>
  <si>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</si>
  <si>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</si>
  <si>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</si>
  <si>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</si>
  <si>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</si>
  <si>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</si>
  <si>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</si>
  <si>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</si>
  <si>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</si>
  <si>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</si>
  <si>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</si>
  <si>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</si>
  <si>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</si>
  <si>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</si>
  <si>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</si>
  <si>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</si>
  <si>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</si>
  <si>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</si>
  <si>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Count of Patient Admission Flag</t>
  </si>
  <si>
    <t>Admitted</t>
  </si>
  <si>
    <t>Not Admitted</t>
  </si>
  <si>
    <t>Count of Patient Admission Flag2</t>
  </si>
  <si>
    <t>Admission status</t>
  </si>
  <si>
    <t>% Status</t>
  </si>
  <si>
    <t>0-9</t>
  </si>
  <si>
    <t>10-19</t>
  </si>
  <si>
    <t>20-29</t>
  </si>
  <si>
    <t>30-39</t>
  </si>
  <si>
    <t>50-59</t>
  </si>
  <si>
    <t>60-69</t>
  </si>
  <si>
    <t>70-79</t>
  </si>
  <si>
    <t>740-49</t>
  </si>
  <si>
    <t>Count of Age Group</t>
  </si>
  <si>
    <t>Ontime</t>
  </si>
  <si>
    <t>Delay</t>
  </si>
  <si>
    <t>Count of Patient Waittime</t>
  </si>
  <si>
    <t>Female</t>
  </si>
  <si>
    <t>Male</t>
  </si>
  <si>
    <t>Count of Patient Gender</t>
  </si>
  <si>
    <t>Cardiology</t>
  </si>
  <si>
    <t>Gastroenterology</t>
  </si>
  <si>
    <t>General Practice</t>
  </si>
  <si>
    <t>Neurology</t>
  </si>
  <si>
    <t>None</t>
  </si>
  <si>
    <t>Orthopedics</t>
  </si>
  <si>
    <t>Physiotherapy</t>
  </si>
  <si>
    <t>Renal</t>
  </si>
  <si>
    <t>Count of Department Referral</t>
  </si>
  <si>
    <t>2024</t>
  </si>
  <si>
    <t>Qtr1</t>
  </si>
  <si>
    <t>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</si>
</sst>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5">
    <fill>
      <patternFill patternType="none"/>
    </fill>
    <fill>
      <patternFill patternType="gray125"/>
    </fill>
    <fill>
      <patternFill patternType="solid">
        <fgColor theme="2" tint="-0.499984740745262"/>
        <bgColor indexed="64"/>
      </patternFill>
    </fill>
    <fill>
      <patternFill patternType="solid">
        <fgColor theme="4" tint="0.59999389629810485"/>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16">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1" fontId="0" fillId="0" borderId="0" xfId="0" applyNumberFormat="1"/>
    <xf numFmtId="10" fontId="0" fillId="0" borderId="0" xfId="0" applyNumberFormat="1"/>
    <xf numFmtId="0" fontId="0" fillId="3" borderId="0" xfId="0" applyFill="1"/>
    <xf numFmtId="0" fontId="0" fillId="4" borderId="0" xfId="0" applyFill="1"/>
    <xf numFmtId="9" fontId="0" fillId="0" borderId="0" xfId="0" applyNumberFormat="1"/>
    <xf numFmtId="0" fontId="0" fillId="3" borderId="0" xfId="0" applyFill="1" applyAlignment="1">
      <alignment horizontal="center" vertical="center"/>
    </xf>
    <xf numFmtId="0" fontId="0" fillId="4" borderId="0" xfId="0" applyFill="1" applyAlignment="1">
      <alignment horizontal="center" vertical="center"/>
    </xf>
    <xf numFmtId="9" fontId="0" fillId="4" borderId="0" xfId="0" applyNumberFormat="1" applyFill="1" applyAlignment="1">
      <alignment horizontal="center" vertical="center"/>
    </xf>
    <xf numFmtId="0" fontId="0" fillId="0" borderId="0" xfId="0" applyAlignment="1">
      <alignment horizontal="left" indent="1"/>
    </xf>
    <xf numFmtId="0" fontId="0" fillId="0" borderId="0" xfId="0" applyAlignment="1">
      <alignment horizontal="left" indent="2"/>
    </xf>
    <xf numFmtId="14" fontId="0" fillId="0" borderId="0" xfId="0" applyNumberFormat="1" applyAlignment="1">
      <alignment horizontal="left" indent="3"/>
    </xf>
  </cellXfs>
  <cellStyles count="1">
    <cellStyle name="Normal" xfId="0" builtinId="0"/>
  </cellStyles>
  <dxfs count="15">
    <dxf>
      <numFmt numFmtId="1" formatCode="0"/>
    </dxf>
    <dxf>
      <numFmt numFmtId="1" formatCode="0"/>
    </dxf>
    <dxf>
      <numFmt numFmtId="13" formatCode="0%"/>
    </dxf>
    <dxf>
      <numFmt numFmtId="14"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font>
        <b/>
        <color theme="1"/>
      </font>
      <border>
        <bottom style="thin">
          <color theme="4"/>
        </bottom>
        <vertical/>
        <horizontal/>
      </border>
    </dxf>
    <dxf>
      <font>
        <sz val="12"/>
        <color theme="1"/>
      </font>
      <fill>
        <patternFill patternType="solid">
          <fgColor theme="2" tint="-0.24994659260841701"/>
          <bgColor theme="0" tint="-4.9989318521683403E-2"/>
        </patternFill>
      </fill>
      <border diagonalUp="0" diagonalDown="0">
        <left/>
        <right/>
        <top/>
        <bottom/>
        <vertical/>
        <horizontal/>
      </border>
    </dxf>
  </dxfs>
  <tableStyles count="1" defaultTableStyle="TableStyleMedium2" defaultPivotStyle="PivotStyleLight16">
    <tableStyle name="my style" pivot="0" table="0" count="10" xr9:uid="{07787552-C5E3-42C2-8175-E8B38FF7099F}">
      <tableStyleElement type="wholeTable" dxfId="14"/>
      <tableStyleElement type="headerRow" dxfId="1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5117038483843"/>
              <bgColor theme="5"/>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[hospital-emergency-room-project.xlsx]pivot report!PivotTable7</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48C7945F-B20E-4C6A-9188-F8BCA137BE77}" type="CELLRANGE">
                  <a:rPr lang="en-US"/>
                  <a:pPr>
                    <a:defRPr sz="8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spPr>
          <a:solidFill>
            <a:schemeClr val="accent1"/>
          </a:solidFill>
          <a:ln>
            <a:noFill/>
          </a:ln>
          <a:effectLst/>
        </c:spPr>
        <c:dLbl>
          <c:idx val="0"/>
          <c:tx>
            <c:rich>
              <a:bodyPr rot="0" spcFirstLastPara="1" vertOverflow="ellipsis" vert="horz" wrap="non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fld id="{5D1D3749-1808-46A3-96C4-148D94BB942A}" type="CELLRANGE">
                  <a:rPr lang="en-US"/>
                  <a:pPr>
                    <a:defRPr sz="8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layout>
                <c:manualLayout>
                  <c:w val="0.1413284877851807"/>
                  <c:h val="0.41306312120820965"/>
                </c:manualLayout>
              </c15:layout>
              <c15:dlblFieldTable/>
              <c15:showDataLabelsRange val="1"/>
            </c:ext>
          </c:extLst>
        </c:dLbl>
      </c:pivotFmt>
    </c:pivotFmts>
    <c:plotArea>
      <c:layout>
        <c:manualLayout>
          <c:layoutTarget val="inner"/>
          <c:xMode val="edge"/>
          <c:yMode val="edge"/>
          <c:x val="3.0047332566575241E-2"/>
          <c:y val="7.7334083239595048E-3"/>
          <c:w val="0.92943226841867699"/>
          <c:h val="0.8416746864975212"/>
        </c:manualLayout>
      </c:layout>
      <c:barChart>
        <c:barDir val="bar"/>
        <c:grouping val="clustered"/>
        <c:varyColors val="0"/>
        <c:ser>
          <c:idx val="0"/>
          <c:order val="0"/>
          <c:tx>
            <c:strRef>
              <c:f>'pivot report'!$C$15:$C$16</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F-FC7E-448E-BF47-7DF8A167DC78}"/>
              </c:ext>
            </c:extLst>
          </c:dPt>
          <c:dPt>
            <c:idx val="1"/>
            <c:invertIfNegative val="0"/>
            <c:bubble3D val="0"/>
            <c:extLst>
              <c:ext xmlns:c16="http://schemas.microsoft.com/office/drawing/2014/chart" uri="{C3380CC4-5D6E-409C-BE32-E72D297353CC}">
                <c16:uniqueId val="{00000000-8D8E-4017-BCD5-C93841361ED7}"/>
              </c:ext>
            </c:extLst>
          </c:dPt>
          <c:dLbls>
            <c:dLbl>
              <c:idx val="0"/>
              <c:tx>
                <c:rich>
                  <a:bodyPr rot="0" spcFirstLastPara="1" vertOverflow="ellipsis"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48C7945F-B20E-4C6A-9188-F8BCA137BE77}" type="CELLRANGE">
                      <a:rPr lang="en-US"/>
                      <a:pPr>
                        <a:defRPr sz="8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 xmlns:c16="http://schemas.microsoft.com/office/drawing/2014/chart" uri="{C3380CC4-5D6E-409C-BE32-E72D297353CC}">
                  <c16:uniqueId val="{0000000F-FC7E-448E-BF47-7DF8A167DC78}"/>
                </c:ext>
              </c:extLst>
            </c:dLbl>
            <c:dLbl>
              <c:idx val="1"/>
              <c:tx>
                <c:rich>
                  <a:bodyPr rot="0" spcFirstLastPara="1" vertOverflow="ellipsis" vert="horz" wrap="non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fld id="{5D1D3749-1808-46A3-96C4-148D94BB942A}" type="CELLRANGE">
                      <a:rPr lang="en-US"/>
                      <a:pPr>
                        <a:defRPr sz="8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layout>
                    <c:manualLayout>
                      <c:w val="0.1413284877851807"/>
                      <c:h val="0.41306312120820965"/>
                    </c:manualLayout>
                  </c15:layout>
                  <c15:dlblFieldTable/>
                  <c15:showDataLabelsRange val="1"/>
                </c:ext>
                <c:ext xmlns:c16="http://schemas.microsoft.com/office/drawing/2014/chart" uri="{C3380CC4-5D6E-409C-BE32-E72D297353CC}">
                  <c16:uniqueId val="{00000000-8D8E-4017-BCD5-C93841361ED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report'!$C$15:$C$16</c:f>
              <c:strCache>
                <c:ptCount val="2"/>
                <c:pt idx="0">
                  <c:v>Admitted</c:v>
                </c:pt>
                <c:pt idx="1">
                  <c:v>Not Admitted</c:v>
                </c:pt>
              </c:strCache>
            </c:strRef>
          </c:cat>
          <c:val>
            <c:numRef>
              <c:f>'pivot report'!$C$15:$C$16</c:f>
              <c:numCache>
                <c:formatCode>0</c:formatCode>
                <c:ptCount val="2"/>
                <c:pt idx="0">
                  <c:v>269</c:v>
                </c:pt>
                <c:pt idx="1">
                  <c:v>244</c:v>
                </c:pt>
              </c:numCache>
            </c:numRef>
          </c:val>
          <c:extLst>
            <c:ext xmlns:c15="http://schemas.microsoft.com/office/drawing/2012/chart" uri="{02D57815-91ED-43cb-92C2-25804820EDAC}">
              <c15:datalabelsRange>
                <c15:f>'pivot report'!$C$15:$C$16</c15:f>
                <c15:dlblRangeCache>
                  <c:ptCount val="2"/>
                  <c:pt idx="0">
                    <c:v>52%</c:v>
                  </c:pt>
                  <c:pt idx="1">
                    <c:v>48%</c:v>
                  </c:pt>
                </c15:dlblRangeCache>
              </c15:datalabelsRange>
            </c:ext>
            <c:ext xmlns:c16="http://schemas.microsoft.com/office/drawing/2014/chart" uri="{C3380CC4-5D6E-409C-BE32-E72D297353CC}">
              <c16:uniqueId val="{0000000D-FC7E-448E-BF47-7DF8A167DC78}"/>
            </c:ext>
          </c:extLst>
        </c:ser>
        <c:ser>
          <c:idx val="1"/>
          <c:order val="1"/>
          <c:tx>
            <c:strRef>
              <c:f>'pivot report'!$C$15:$C$16</c:f>
              <c:strCache>
                <c:ptCount val="1"/>
                <c:pt idx="0">
                  <c:v>Count of Patient Admission Flag2</c:v>
                </c:pt>
              </c:strCache>
            </c:strRef>
          </c:tx>
          <c:spPr>
            <a:solidFill>
              <a:schemeClr val="accent2"/>
            </a:solidFill>
            <a:ln>
              <a:noFill/>
            </a:ln>
            <a:effectLst/>
          </c:spPr>
          <c:invertIfNegative val="0"/>
          <c:cat>
            <c:strRef>
              <c:f>'pivot report'!$C$15:$C$16</c:f>
              <c:strCache>
                <c:ptCount val="2"/>
                <c:pt idx="0">
                  <c:v>Admitted</c:v>
                </c:pt>
                <c:pt idx="1">
                  <c:v>Not Admitted</c:v>
                </c:pt>
              </c:strCache>
            </c:strRef>
          </c:cat>
          <c:val>
            <c:numRef>
              <c:f>'pivot report'!$C$15:$C$16</c:f>
              <c:numCache>
                <c:formatCode>0%</c:formatCode>
                <c:ptCount val="2"/>
                <c:pt idx="0">
                  <c:v>0.52436647173489281</c:v>
                </c:pt>
                <c:pt idx="1">
                  <c:v>0.47563352826510719</c:v>
                </c:pt>
              </c:numCache>
            </c:numRef>
          </c:val>
          <c:extLst>
            <c:ext xmlns:c16="http://schemas.microsoft.com/office/drawing/2014/chart" uri="{C3380CC4-5D6E-409C-BE32-E72D297353CC}">
              <c16:uniqueId val="{0000000E-FC7E-448E-BF47-7DF8A167DC78}"/>
            </c:ext>
          </c:extLst>
        </c:ser>
        <c:dLbls>
          <c:showLegendKey val="0"/>
          <c:showVal val="0"/>
          <c:showCatName val="0"/>
          <c:showSerName val="0"/>
          <c:showPercent val="0"/>
          <c:showBubbleSize val="0"/>
        </c:dLbls>
        <c:gapWidth val="6"/>
        <c:axId val="2066960768"/>
        <c:axId val="2066965568"/>
      </c:barChart>
      <c:catAx>
        <c:axId val="2066960768"/>
        <c:scaling>
          <c:orientation val="minMax"/>
        </c:scaling>
        <c:delete val="1"/>
        <c:axPos val="l"/>
        <c:numFmt formatCode="General" sourceLinked="1"/>
        <c:majorTickMark val="none"/>
        <c:minorTickMark val="none"/>
        <c:tickLblPos val="nextTo"/>
        <c:crossAx val="2066965568"/>
        <c:crosses val="autoZero"/>
        <c:auto val="1"/>
        <c:lblAlgn val="ctr"/>
        <c:lblOffset val="100"/>
        <c:noMultiLvlLbl val="0"/>
      </c:catAx>
      <c:valAx>
        <c:axId val="2066965568"/>
        <c:scaling>
          <c:orientation val="minMax"/>
        </c:scaling>
        <c:delete val="1"/>
        <c:axPos val="b"/>
        <c:numFmt formatCode="0" sourceLinked="1"/>
        <c:majorTickMark val="none"/>
        <c:minorTickMark val="none"/>
        <c:tickLblPos val="nextTo"/>
        <c:crossAx val="2066960768"/>
        <c:crosses val="autoZero"/>
        <c:crossBetween val="between"/>
      </c:valAx>
      <c:spPr>
        <a:noFill/>
        <a:ln w="3175">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[hospital-emergency-room-project.xlsx]pivot report!PivotTable6</c:name>
    <c:fmtId val="11"/>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report'!$L$5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report'!$K$6:$K$37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report'!$L$6:$L$37</c:f>
              <c:numCache>
                <c:formatCode>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5-8CA2-4390-98BF-3E97993D97B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496548304"/>
        <c:axId val="1496549264"/>
      </c:areaChart>
      <c:catAx>
        <c:axId val="149654830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96549264"/>
        <c:crosses val="autoZero"/>
        <c:auto val="1"/>
        <c:lblAlgn val="ctr"/>
        <c:lblOffset val="100"/>
        <c:noMultiLvlLbl val="0"/>
      </c:catAx>
      <c:valAx>
        <c:axId val="1496549264"/>
        <c:scaling>
          <c:orientation val="minMax"/>
        </c:scaling>
        <c:delete val="1"/>
        <c:axPos val="l"/>
        <c:numFmt formatCode="0" sourceLinked="1"/>
        <c:majorTickMark val="out"/>
        <c:minorTickMark val="none"/>
        <c:tickLblPos val="nextTo"/>
        <c:crossAx val="149654830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[hospital-emergency-room-project.xlsx]pivot report!PivotTable4</c:name>
    <c:fmtId val="5"/>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report'!$E$3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report'!$D$4:$D$35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report'!$E$4:$E$35</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5-3B7A-41F2-900D-BC987EB2C6C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552717872"/>
        <c:axId val="1552718832"/>
      </c:areaChart>
      <c:catAx>
        <c:axId val="155271787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52718832"/>
        <c:crosses val="autoZero"/>
        <c:auto val="1"/>
        <c:lblAlgn val="ctr"/>
        <c:lblOffset val="100"/>
        <c:noMultiLvlLbl val="0"/>
      </c:catAx>
      <c:valAx>
        <c:axId val="1552718832"/>
        <c:scaling>
          <c:orientation val="minMax"/>
        </c:scaling>
        <c:delete val="1"/>
        <c:axPos val="l"/>
        <c:numFmt formatCode="General" sourceLinked="1"/>
        <c:majorTickMark val="out"/>
        <c:minorTickMark val="none"/>
        <c:tickLblPos val="nextTo"/>
        <c:crossAx val="155271787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[hospital-emergency-room-project.xlsx]pivot report!PivotTable5</c:name>
    <c:fmtId val="15"/>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report'!$H$4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report'!$G$5:$G$36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report'!$H$5:$H$36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5-759D-4043-B5E8-17A1DFA715F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67697392"/>
        <c:axId val="1967694512"/>
      </c:areaChart>
      <c:catAx>
        <c:axId val="196769739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67694512"/>
        <c:crosses val="autoZero"/>
        <c:auto val="1"/>
        <c:lblAlgn val="ctr"/>
        <c:lblOffset val="100"/>
        <c:noMultiLvlLbl val="0"/>
      </c:catAx>
      <c:valAx>
        <c:axId val="1967694512"/>
        <c:scaling>
          <c:orientation val="minMax"/>
        </c:scaling>
        <c:delete val="1"/>
        <c:axPos val="l"/>
        <c:numFmt formatCode="0.00" sourceLinked="1"/>
        <c:majorTickMark val="out"/>
        <c:minorTickMark val="none"/>
        <c:tickLblPos val="nextTo"/>
        <c:crossAx val="196769739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[hospital-emergency-room-project.xlsx]pivot report!PivotTable4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576231132028047E-2"/>
          <c:y val="0.33310599954533243"/>
          <c:w val="0.83102918586789554"/>
          <c:h val="0.54732510288065839"/>
        </c:manualLayout>
      </c:layout>
      <c:areaChart>
        <c:grouping val="standard"/>
        <c:varyColors val="0"/>
        <c:ser>
          <c:idx val="0"/>
          <c:order val="0"/>
          <c:tx>
            <c:strRef>
              <c:f>'pivot report'!$E$3</c:f>
              <c:strCache>
                <c:ptCount val="1"/>
                <c:pt idx="0">
                  <c:v>Total</c:v>
                </c:pt>
              </c:strCache>
            </c:strRef>
          </c:tx>
          <c:spPr>
            <a:solidFill>
              <a:schemeClr val="accent1"/>
            </a:solidFill>
            <a:ln w="25400">
              <a:noFill/>
            </a:ln>
            <a:effectLst/>
          </c:spPr>
          <c:cat>
            <c:strRef>
              <c:f>'pivot report'!$D$4:$D$35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report'!$E$4:$E$35</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6-A7E4-4C24-8D94-29FD61513B3F}"/>
            </c:ext>
          </c:extLst>
        </c:ser>
        <c:dLbls>
          <c:showLegendKey val="0"/>
          <c:showVal val="0"/>
          <c:showCatName val="0"/>
          <c:showSerName val="0"/>
          <c:showPercent val="0"/>
          <c:showBubbleSize val="0"/>
        </c:dLbls>
        <c:axId val="1513865984"/>
        <c:axId val="1513866464"/>
      </c:areaChart>
      <c:catAx>
        <c:axId val="1513865984"/>
        <c:scaling>
          <c:orientation val="minMax"/>
        </c:scaling>
        <c:delete val="1"/>
        <c:axPos val="b"/>
        <c:numFmt formatCode="General" sourceLinked="1"/>
        <c:majorTickMark val="out"/>
        <c:minorTickMark val="none"/>
        <c:tickLblPos val="nextTo"/>
        <c:crossAx val="1513866464"/>
        <c:crosses val="autoZero"/>
        <c:auto val="1"/>
        <c:lblAlgn val="ctr"/>
        <c:lblOffset val="100"/>
        <c:noMultiLvlLbl val="0"/>
      </c:catAx>
      <c:valAx>
        <c:axId val="1513866464"/>
        <c:scaling>
          <c:orientation val="minMax"/>
        </c:scaling>
        <c:delete val="1"/>
        <c:axPos val="l"/>
        <c:numFmt formatCode="General" sourceLinked="1"/>
        <c:majorTickMark val="none"/>
        <c:minorTickMark val="none"/>
        <c:tickLblPos val="nextTo"/>
        <c:crossAx val="15138659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[hospital-emergency-room-project.xlsx]pivot report!PivotTable5</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report'!$H$4</c:f>
              <c:strCache>
                <c:ptCount val="1"/>
                <c:pt idx="0">
                  <c:v>Total</c:v>
                </c:pt>
              </c:strCache>
            </c:strRef>
          </c:tx>
          <c:spPr>
            <a:solidFill>
              <a:schemeClr val="accent1"/>
            </a:solidFill>
            <a:ln w="25400">
              <a:noFill/>
            </a:ln>
            <a:effectLst/>
          </c:spPr>
          <c:cat>
            <c:strRef>
              <c:f>'pivot report'!$G$5:$G$36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report'!$H$5:$H$36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6-83CE-4F34-825D-B271F171CA0C}"/>
            </c:ext>
          </c:extLst>
        </c:ser>
        <c:dLbls>
          <c:showLegendKey val="0"/>
          <c:showVal val="0"/>
          <c:showCatName val="0"/>
          <c:showSerName val="0"/>
          <c:showPercent val="0"/>
          <c:showBubbleSize val="0"/>
        </c:dLbls>
        <c:axId val="1603800912"/>
        <c:axId val="1603801392"/>
      </c:areaChart>
      <c:catAx>
        <c:axId val="1603800912"/>
        <c:scaling>
          <c:orientation val="minMax"/>
        </c:scaling>
        <c:delete val="1"/>
        <c:axPos val="b"/>
        <c:numFmt formatCode="General" sourceLinked="1"/>
        <c:majorTickMark val="out"/>
        <c:minorTickMark val="none"/>
        <c:tickLblPos val="nextTo"/>
        <c:crossAx val="1603801392"/>
        <c:crosses val="autoZero"/>
        <c:auto val="1"/>
        <c:lblAlgn val="ctr"/>
        <c:lblOffset val="100"/>
        <c:noMultiLvlLbl val="0"/>
      </c:catAx>
      <c:valAx>
        <c:axId val="1603801392"/>
        <c:scaling>
          <c:orientation val="minMax"/>
        </c:scaling>
        <c:delete val="1"/>
        <c:axPos val="l"/>
        <c:numFmt formatCode="0.00" sourceLinked="1"/>
        <c:majorTickMark val="none"/>
        <c:minorTickMark val="none"/>
        <c:tickLblPos val="nextTo"/>
        <c:crossAx val="1603800912"/>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[hospital-emergency-room-project.xlsx]pivot report!PivotTable5</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666666666666666E-2"/>
          <c:y val="7.407407407407407E-2"/>
          <c:w val="0.82664807524059492"/>
          <c:h val="0.89814814814814814"/>
        </c:manualLayout>
      </c:layout>
      <c:areaChart>
        <c:grouping val="standard"/>
        <c:varyColors val="0"/>
        <c:ser>
          <c:idx val="0"/>
          <c:order val="0"/>
          <c:tx>
            <c:strRef>
              <c:f>'pivot report'!$H$4</c:f>
              <c:strCache>
                <c:ptCount val="1"/>
                <c:pt idx="0">
                  <c:v>Total</c:v>
                </c:pt>
              </c:strCache>
            </c:strRef>
          </c:tx>
          <c:spPr>
            <a:solidFill>
              <a:schemeClr val="accent1"/>
            </a:solidFill>
            <a:ln w="25400">
              <a:noFill/>
            </a:ln>
            <a:effectLst/>
          </c:spPr>
          <c:cat>
            <c:strRef>
              <c:f>'pivot report'!$G$5:$G$36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report'!$H$5:$H$36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6-F448-43F5-AEE5-6FEA0BC0884F}"/>
            </c:ext>
          </c:extLst>
        </c:ser>
        <c:dLbls>
          <c:showLegendKey val="0"/>
          <c:showVal val="0"/>
          <c:showCatName val="0"/>
          <c:showSerName val="0"/>
          <c:showPercent val="0"/>
          <c:showBubbleSize val="0"/>
        </c:dLbls>
        <c:axId val="1545968944"/>
        <c:axId val="1545970864"/>
      </c:areaChart>
      <c:catAx>
        <c:axId val="1545968944"/>
        <c:scaling>
          <c:orientation val="minMax"/>
        </c:scaling>
        <c:delete val="1"/>
        <c:axPos val="b"/>
        <c:numFmt formatCode="General" sourceLinked="1"/>
        <c:majorTickMark val="out"/>
        <c:minorTickMark val="none"/>
        <c:tickLblPos val="nextTo"/>
        <c:crossAx val="1545970864"/>
        <c:crosses val="autoZero"/>
        <c:auto val="1"/>
        <c:lblAlgn val="ctr"/>
        <c:lblOffset val="100"/>
        <c:noMultiLvlLbl val="0"/>
      </c:catAx>
      <c:valAx>
        <c:axId val="1545970864"/>
        <c:scaling>
          <c:orientation val="minMax"/>
        </c:scaling>
        <c:delete val="1"/>
        <c:axPos val="l"/>
        <c:numFmt formatCode="0.00" sourceLinked="1"/>
        <c:majorTickMark val="none"/>
        <c:minorTickMark val="none"/>
        <c:tickLblPos val="nextTo"/>
        <c:crossAx val="15459689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[hospital-emergency-room-project.xlsx]pivot report!PivotTable8</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454728998036084E-2"/>
          <c:y val="6.143874872783759E-3"/>
          <c:w val="0.93888888888888888"/>
          <c:h val="0.8416746864975212"/>
        </c:manualLayout>
      </c:layout>
      <c:barChart>
        <c:barDir val="col"/>
        <c:grouping val="clustered"/>
        <c:varyColors val="0"/>
        <c:ser>
          <c:idx val="0"/>
          <c:order val="0"/>
          <c:tx>
            <c:strRef>
              <c:f>'pivot report'!$F$43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report'!$E$44:$E$52</c:f>
              <c:strCache>
                <c:ptCount val="8"/>
                <c:pt idx="0">
                  <c:v>0-9</c:v>
                </c:pt>
                <c:pt idx="1">
                  <c:v>10-19</c:v>
                </c:pt>
                <c:pt idx="2">
                  <c:v>20-29</c:v>
                </c:pt>
                <c:pt idx="3">
                  <c:v>30-39</c:v>
                </c:pt>
                <c:pt idx="4">
                  <c:v>50-59</c:v>
                </c:pt>
                <c:pt idx="5">
                  <c:v>60-69</c:v>
                </c:pt>
                <c:pt idx="6">
                  <c:v>70-79</c:v>
                </c:pt>
                <c:pt idx="7">
                  <c:v>740-49</c:v>
                </c:pt>
              </c:strCache>
            </c:strRef>
          </c:cat>
          <c:val>
            <c:numRef>
              <c:f>'pivot report'!$F$44:$F$52</c:f>
              <c:numCache>
                <c:formatCode>0</c:formatCode>
                <c:ptCount val="8"/>
                <c:pt idx="0">
                  <c:v>76</c:v>
                </c:pt>
                <c:pt idx="1">
                  <c:v>69</c:v>
                </c:pt>
                <c:pt idx="2">
                  <c:v>64</c:v>
                </c:pt>
                <c:pt idx="3">
                  <c:v>59</c:v>
                </c:pt>
                <c:pt idx="4">
                  <c:v>66</c:v>
                </c:pt>
                <c:pt idx="5">
                  <c:v>67</c:v>
                </c:pt>
                <c:pt idx="6">
                  <c:v>54</c:v>
                </c:pt>
                <c:pt idx="7">
                  <c:v>58</c:v>
                </c:pt>
              </c:numCache>
            </c:numRef>
          </c:val>
          <c:extLst>
            <c:ext xmlns:c16="http://schemas.microsoft.com/office/drawing/2014/chart" uri="{C3380CC4-5D6E-409C-BE32-E72D297353CC}">
              <c16:uniqueId val="{00000006-0CD0-414F-8CDE-2DC526270257}"/>
            </c:ext>
          </c:extLst>
        </c:ser>
        <c:dLbls>
          <c:showLegendKey val="0"/>
          <c:showVal val="0"/>
          <c:showCatName val="0"/>
          <c:showSerName val="0"/>
          <c:showPercent val="0"/>
          <c:showBubbleSize val="0"/>
        </c:dLbls>
        <c:gapWidth val="219"/>
        <c:overlap val="-27"/>
        <c:axId val="744735567"/>
        <c:axId val="744733647"/>
      </c:barChart>
      <c:catAx>
        <c:axId val="74473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744733647"/>
        <c:crosses val="autoZero"/>
        <c:auto val="1"/>
        <c:lblAlgn val="ctr"/>
        <c:lblOffset val="100"/>
        <c:noMultiLvlLbl val="0"/>
      </c:catAx>
      <c:valAx>
        <c:axId val="744733647"/>
        <c:scaling>
          <c:orientation val="minMax"/>
        </c:scaling>
        <c:delete val="1"/>
        <c:axPos val="l"/>
        <c:numFmt formatCode="0" sourceLinked="1"/>
        <c:majorTickMark val="none"/>
        <c:minorTickMark val="none"/>
        <c:tickLblPos val="nextTo"/>
        <c:crossAx val="744735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[hospital-emergency-room-project.xlsx]pivot report!PivotTable9</c:name>
    <c:fmtId val="23"/>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961004874390701"/>
          <c:y val="0.15868317967791717"/>
          <c:w val="0.61931896670810882"/>
          <c:h val="0.82783339268521083"/>
        </c:manualLayout>
      </c:layout>
      <c:pieChart>
        <c:varyColors val="1"/>
        <c:ser>
          <c:idx val="0"/>
          <c:order val="0"/>
          <c:tx>
            <c:strRef>
              <c:f>'pivot report'!$I$43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BBF-4442-9B8B-301502C358D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BBF-4442-9B8B-301502C358D6}"/>
              </c:ext>
            </c:extLst>
          </c:dPt>
          <c:dLbls>
            <c:dLbl>
              <c:idx val="0"/>
              <c:dLblPos val="inEnd"/>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BBF-4442-9B8B-301502C358D6}"/>
                </c:ext>
              </c:extLst>
            </c:dLbl>
            <c:dLbl>
              <c:idx val="1"/>
              <c:dLblPos val="inEnd"/>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BBF-4442-9B8B-301502C358D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report'!$H$44:$H$46</c:f>
              <c:strCache>
                <c:ptCount val="2"/>
                <c:pt idx="0">
                  <c:v>Delay</c:v>
                </c:pt>
                <c:pt idx="1">
                  <c:v>Ontime</c:v>
                </c:pt>
              </c:strCache>
            </c:strRef>
          </c:cat>
          <c:val>
            <c:numRef>
              <c:f>'pivot report'!$I$44:$I$46</c:f>
              <c:numCache>
                <c:formatCode>0</c:formatCode>
                <c:ptCount val="2"/>
                <c:pt idx="0">
                  <c:v>316</c:v>
                </c:pt>
                <c:pt idx="1">
                  <c:v>197</c:v>
                </c:pt>
              </c:numCache>
            </c:numRef>
          </c:val>
          <c:extLst>
            <c:ext xmlns:c16="http://schemas.microsoft.com/office/drawing/2014/chart" uri="{C3380CC4-5D6E-409C-BE32-E72D297353CC}">
              <c16:uniqueId val="{0000000A-D81F-4DDA-AACB-96E199B0922E}"/>
            </c:ext>
          </c:extLst>
        </c:ser>
        <c:dLbls>
          <c:dLblPos val="inEnd"/>
          <c:showLegendKey val="0"/>
          <c:showVal val="0"/>
          <c:showCatName val="1"/>
          <c:showSerName val="0"/>
          <c:showPercent val="0"/>
          <c:showBubbleSize val="0"/>
          <c:showLeaderLines val="1"/>
        </c:dLbls>
        <c:firstSliceAng val="0"/>
      </c:pieChart>
      <c:spPr>
        <a:noFill/>
        <a:ln>
          <a:noFill/>
        </a:ln>
        <a:effectLst/>
      </c:spPr>
    </c:plotArea>
    <c:legend>
      <c:legendPos val="r"/>
      <c:layout>
        <c:manualLayout>
          <c:xMode val="edge"/>
          <c:yMode val="edge"/>
          <c:x val="0.19993191640518621"/>
          <c:y val="3.2013083791661713E-2"/>
          <c:w val="0.59453891401872638"/>
          <c:h val="0.16048614465274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[hospital-emergency-room-project.xlsx]pivot report!PivotTable10</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2385848024057722"/>
          <c:y val="9.3952460487893547E-2"/>
          <c:w val="0.65366364992757653"/>
          <c:h val="0.77994282404840243"/>
        </c:manualLayout>
      </c:layout>
      <c:doughnutChart>
        <c:varyColors val="1"/>
        <c:ser>
          <c:idx val="0"/>
          <c:order val="0"/>
          <c:tx>
            <c:strRef>
              <c:f>'pivot report'!$C$43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42D-4731-B165-DBE5F97A619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42D-4731-B165-DBE5F97A619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report'!$B$44:$B$46</c:f>
              <c:strCache>
                <c:ptCount val="2"/>
                <c:pt idx="0">
                  <c:v>Female</c:v>
                </c:pt>
                <c:pt idx="1">
                  <c:v>Male</c:v>
                </c:pt>
              </c:strCache>
            </c:strRef>
          </c:cat>
          <c:val>
            <c:numRef>
              <c:f>'pivot report'!$C$44:$C$46</c:f>
              <c:numCache>
                <c:formatCode>0</c:formatCode>
                <c:ptCount val="2"/>
                <c:pt idx="0">
                  <c:v>241</c:v>
                </c:pt>
                <c:pt idx="1">
                  <c:v>272</c:v>
                </c:pt>
              </c:numCache>
            </c:numRef>
          </c:val>
          <c:extLst>
            <c:ext xmlns:c16="http://schemas.microsoft.com/office/drawing/2014/chart" uri="{C3380CC4-5D6E-409C-BE32-E72D297353CC}">
              <c16:uniqueId val="{0000000A-3F15-4788-9AB5-D54892243AD4}"/>
            </c:ext>
          </c:extLst>
        </c:ser>
        <c:dLbls>
          <c:showLegendKey val="0"/>
          <c:showVal val="0"/>
          <c:showCatName val="0"/>
          <c:showSerName val="0"/>
          <c:showPercent val="1"/>
          <c:showBubbleSize val="0"/>
          <c:showLeaderLines val="1"/>
        </c:dLbls>
        <c:firstSliceAng val="0"/>
        <c:holeSize val="24"/>
      </c:doughnutChart>
      <c:spPr>
        <a:noFill/>
        <a:ln>
          <a:noFill/>
        </a:ln>
        <a:effectLst/>
      </c:spPr>
    </c:plotArea>
    <c:legend>
      <c:legendPos val="r"/>
      <c:layout>
        <c:manualLayout>
          <c:xMode val="edge"/>
          <c:yMode val="edge"/>
          <c:x val="0.2179264029243308"/>
          <c:y val="2.3331742623081207E-2"/>
          <c:w val="0.56969484104943313"/>
          <c:h val="0.112960879890013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[hospital-emergency-room-project.xlsx]pivot report!PivotTable11</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569976695119762"/>
          <c:y val="4.8500755587369763E-2"/>
          <c:w val="0.70219281915504872"/>
          <c:h val="0.90299823633156961"/>
        </c:manualLayout>
      </c:layout>
      <c:barChart>
        <c:barDir val="bar"/>
        <c:grouping val="clustered"/>
        <c:varyColors val="0"/>
        <c:ser>
          <c:idx val="0"/>
          <c:order val="0"/>
          <c:tx>
            <c:strRef>
              <c:f>'pivot report'!$C$48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report'!$B$49:$B$57</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report'!$C$49:$C$57</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6-DA39-4F2E-8A33-9011F2EDAB3E}"/>
            </c:ext>
          </c:extLst>
        </c:ser>
        <c:dLbls>
          <c:showLegendKey val="0"/>
          <c:showVal val="0"/>
          <c:showCatName val="0"/>
          <c:showSerName val="0"/>
          <c:showPercent val="0"/>
          <c:showBubbleSize val="0"/>
        </c:dLbls>
        <c:gapWidth val="86"/>
        <c:axId val="1968569456"/>
        <c:axId val="1968580976"/>
      </c:barChart>
      <c:catAx>
        <c:axId val="1968569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968580976"/>
        <c:crosses val="autoZero"/>
        <c:auto val="1"/>
        <c:lblAlgn val="ctr"/>
        <c:lblOffset val="100"/>
        <c:noMultiLvlLbl val="0"/>
      </c:catAx>
      <c:valAx>
        <c:axId val="1968580976"/>
        <c:scaling>
          <c:orientation val="minMax"/>
        </c:scaling>
        <c:delete val="1"/>
        <c:axPos val="b"/>
        <c:numFmt formatCode="0" sourceLinked="1"/>
        <c:majorTickMark val="none"/>
        <c:minorTickMark val="none"/>
        <c:tickLblPos val="nextTo"/>
        <c:crossAx val="196856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hyperlink" Target="#'daily er patient'!A1"/><Relationship Id="rId13" Type="http://schemas.openxmlformats.org/officeDocument/2006/relationships/chart" Target="../charts/chart7.xml"/><Relationship Id="rId18" Type="http://schemas.openxmlformats.org/officeDocument/2006/relationships/image" Target="../media/image8.emf"/><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patient satisfaction'!A1"/><Relationship Id="rId17" Type="http://schemas.openxmlformats.org/officeDocument/2006/relationships/chart" Target="../charts/chart11.xml"/><Relationship Id="rId2" Type="http://schemas.openxmlformats.org/officeDocument/2006/relationships/image" Target="../media/image2.png"/><Relationship Id="rId16" Type="http://schemas.openxmlformats.org/officeDocument/2006/relationships/chart" Target="../charts/chart10.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6.xml"/><Relationship Id="rId5" Type="http://schemas.openxmlformats.org/officeDocument/2006/relationships/image" Target="../media/image5.svg"/><Relationship Id="rId15" Type="http://schemas.openxmlformats.org/officeDocument/2006/relationships/chart" Target="../charts/chart9.xml"/><Relationship Id="rId10" Type="http://schemas.openxmlformats.org/officeDocument/2006/relationships/hyperlink" Target="#'patient waittime'!A1"/><Relationship Id="rId4" Type="http://schemas.openxmlformats.org/officeDocument/2006/relationships/image" Target="../media/image4.png"/><Relationship Id="rId9" Type="http://schemas.openxmlformats.org/officeDocument/2006/relationships/chart" Target="../charts/chart5.xml"/><Relationship Id="rId1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22860</xdr:colOff>
      <xdr:row>37</xdr:row>
      <xdr:rowOff>152400</xdr:rowOff>
    </xdr:from>
    <xdr:to>
      <xdr:col>4</xdr:col>
      <xdr:colOff>91440</xdr:colOff>
      <xdr:row>40</xdr:row>
      <xdr:rowOff>30480</xdr:rowOff>
    </xdr:to>
    <xdr:graphicFrame macro="">
      <xdr:nvGraphicFramePr>
        <xdr:cNvPr id="9" name="Chart 8">
          <a:extLst>
            <a:ext uri="{FF2B5EF4-FFF2-40B4-BE49-F238E27FC236}">
              <a16:creationId xmlns:a16="http://schemas.microsoft.com/office/drawing/2014/main" id="{68C157EB-4924-45BF-F026-5DCF7C941C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434340</xdr:colOff>
      <xdr:row>1</xdr:row>
      <xdr:rowOff>45720</xdr:rowOff>
    </xdr:from>
    <xdr:to>
      <xdr:col>13</xdr:col>
      <xdr:colOff>15240</xdr:colOff>
      <xdr:row>24</xdr:row>
      <xdr:rowOff>175260</xdr:rowOff>
    </xdr:to>
    <xdr:graphicFrame macro="">
      <xdr:nvGraphicFramePr>
        <xdr:cNvPr id="2" name="Chart 1">
          <a:extLst>
            <a:ext uri="{FF2B5EF4-FFF2-40B4-BE49-F238E27FC236}">
              <a16:creationId xmlns:a16="http://schemas.microsoft.com/office/drawing/2014/main" id="{F8DB8523-24A2-48EF-910C-E384BAF926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213360</xdr:colOff>
      <xdr:row>0</xdr:row>
      <xdr:rowOff>114300</xdr:rowOff>
    </xdr:from>
    <xdr:to>
      <xdr:col>12</xdr:col>
      <xdr:colOff>160020</xdr:colOff>
      <xdr:row>26</xdr:row>
      <xdr:rowOff>38100</xdr:rowOff>
    </xdr:to>
    <xdr:graphicFrame macro="">
      <xdr:nvGraphicFramePr>
        <xdr:cNvPr id="2" name="Chart 1">
          <a:extLst>
            <a:ext uri="{FF2B5EF4-FFF2-40B4-BE49-F238E27FC236}">
              <a16:creationId xmlns:a16="http://schemas.microsoft.com/office/drawing/2014/main" id="{942EB6D1-DDC0-4CA2-A8D3-433CD04DA2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228600</xdr:colOff>
      <xdr:row>1</xdr:row>
      <xdr:rowOff>0</xdr:rowOff>
    </xdr:from>
    <xdr:to>
      <xdr:col>11</xdr:col>
      <xdr:colOff>586740</xdr:colOff>
      <xdr:row>23</xdr:row>
      <xdr:rowOff>0</xdr:rowOff>
    </xdr:to>
    <xdr:graphicFrame macro="">
      <xdr:nvGraphicFramePr>
        <xdr:cNvPr id="2" name="Chart 1">
          <a:extLst>
            <a:ext uri="{FF2B5EF4-FFF2-40B4-BE49-F238E27FC236}">
              <a16:creationId xmlns:a16="http://schemas.microsoft.com/office/drawing/2014/main" id="{270051FA-6796-44D4-BC30-F2756EBA35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60960</xdr:colOff>
      <xdr:row>0</xdr:row>
      <xdr:rowOff>83820</xdr:rowOff>
    </xdr:from>
    <xdr:to>
      <xdr:col>7</xdr:col>
      <xdr:colOff>289560</xdr:colOff>
      <xdr:row>4</xdr:row>
      <xdr:rowOff>30480</xdr:rowOff>
    </xdr:to>
    <xdr:sp macro="" textlink="">
      <xdr:nvSpPr>
        <xdr:cNvPr id="2" name="Rectangle: Rounded Corners 1">
          <a:extLst>
            <a:ext uri="{FF2B5EF4-FFF2-40B4-BE49-F238E27FC236}">
              <a16:creationId xmlns:a16="http://schemas.microsoft.com/office/drawing/2014/main" id="{3A62E764-F861-BE49-A53A-2DED9722AA0E}"/>
            </a:ext>
          </a:extLst>
        </xdr:cNvPr>
        <xdr:cNvSpPr/>
      </xdr:nvSpPr>
      <xdr:spPr>
        <a:xfrm>
          <a:off x="60960" y="83820"/>
          <a:ext cx="4495800" cy="67818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342900</xdr:colOff>
      <xdr:row>0</xdr:row>
      <xdr:rowOff>83820</xdr:rowOff>
    </xdr:from>
    <xdr:to>
      <xdr:col>9</xdr:col>
      <xdr:colOff>312420</xdr:colOff>
      <xdr:row>4</xdr:row>
      <xdr:rowOff>30480</xdr:rowOff>
    </xdr:to>
    <xdr:sp macro="" textlink="">
      <xdr:nvSpPr>
        <xdr:cNvPr id="3" name="Rectangle: Rounded Corners 2">
          <a:extLst>
            <a:ext uri="{FF2B5EF4-FFF2-40B4-BE49-F238E27FC236}">
              <a16:creationId xmlns:a16="http://schemas.microsoft.com/office/drawing/2014/main" id="{B3B69039-C48A-4FF1-1FCB-727C67F909EC}"/>
            </a:ext>
          </a:extLst>
        </xdr:cNvPr>
        <xdr:cNvSpPr/>
      </xdr:nvSpPr>
      <xdr:spPr>
        <a:xfrm>
          <a:off x="4610100" y="83820"/>
          <a:ext cx="1188720" cy="67818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365760</xdr:colOff>
      <xdr:row>0</xdr:row>
      <xdr:rowOff>76200</xdr:rowOff>
    </xdr:from>
    <xdr:to>
      <xdr:col>12</xdr:col>
      <xdr:colOff>327660</xdr:colOff>
      <xdr:row>9</xdr:row>
      <xdr:rowOff>137160</xdr:rowOff>
    </xdr:to>
    <xdr:sp macro="" textlink="">
      <xdr:nvSpPr>
        <xdr:cNvPr id="4" name="Rectangle: Rounded Corners 3">
          <a:extLst>
            <a:ext uri="{FF2B5EF4-FFF2-40B4-BE49-F238E27FC236}">
              <a16:creationId xmlns:a16="http://schemas.microsoft.com/office/drawing/2014/main" id="{ACF73F5E-7A14-7D5F-59B7-DEAC84605D94}"/>
            </a:ext>
          </a:extLst>
        </xdr:cNvPr>
        <xdr:cNvSpPr/>
      </xdr:nvSpPr>
      <xdr:spPr>
        <a:xfrm>
          <a:off x="5852160" y="76200"/>
          <a:ext cx="1790700" cy="1706880"/>
        </a:xfrm>
        <a:prstGeom prst="roundRect">
          <a:avLst>
            <a:gd name="adj" fmla="val 4167"/>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381000</xdr:colOff>
      <xdr:row>0</xdr:row>
      <xdr:rowOff>83820</xdr:rowOff>
    </xdr:from>
    <xdr:to>
      <xdr:col>15</xdr:col>
      <xdr:colOff>342900</xdr:colOff>
      <xdr:row>9</xdr:row>
      <xdr:rowOff>144780</xdr:rowOff>
    </xdr:to>
    <xdr:sp macro="" textlink="">
      <xdr:nvSpPr>
        <xdr:cNvPr id="5" name="Rectangle: Rounded Corners 4">
          <a:extLst>
            <a:ext uri="{FF2B5EF4-FFF2-40B4-BE49-F238E27FC236}">
              <a16:creationId xmlns:a16="http://schemas.microsoft.com/office/drawing/2014/main" id="{1670832E-F639-C39F-8359-99C9FFE9FB54}"/>
            </a:ext>
          </a:extLst>
        </xdr:cNvPr>
        <xdr:cNvSpPr/>
      </xdr:nvSpPr>
      <xdr:spPr>
        <a:xfrm>
          <a:off x="9250680" y="83820"/>
          <a:ext cx="2179320" cy="1706880"/>
        </a:xfrm>
        <a:prstGeom prst="roundRect">
          <a:avLst>
            <a:gd name="adj" fmla="val 4167"/>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60960</xdr:colOff>
      <xdr:row>4</xdr:row>
      <xdr:rowOff>106680</xdr:rowOff>
    </xdr:from>
    <xdr:to>
      <xdr:col>1</xdr:col>
      <xdr:colOff>426720</xdr:colOff>
      <xdr:row>26</xdr:row>
      <xdr:rowOff>53340</xdr:rowOff>
    </xdr:to>
    <xdr:sp macro="" textlink="">
      <xdr:nvSpPr>
        <xdr:cNvPr id="6" name="Rectangle: Rounded Corners 5">
          <a:extLst>
            <a:ext uri="{FF2B5EF4-FFF2-40B4-BE49-F238E27FC236}">
              <a16:creationId xmlns:a16="http://schemas.microsoft.com/office/drawing/2014/main" id="{E2507BFD-102E-0227-1D6C-224F50D52979}"/>
            </a:ext>
          </a:extLst>
        </xdr:cNvPr>
        <xdr:cNvSpPr/>
      </xdr:nvSpPr>
      <xdr:spPr>
        <a:xfrm>
          <a:off x="60960" y="838200"/>
          <a:ext cx="1104900" cy="3970020"/>
        </a:xfrm>
        <a:prstGeom prst="roundRect">
          <a:avLst>
            <a:gd name="adj" fmla="val 9636"/>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487680</xdr:colOff>
      <xdr:row>4</xdr:row>
      <xdr:rowOff>99711</xdr:rowOff>
    </xdr:from>
    <xdr:to>
      <xdr:col>4</xdr:col>
      <xdr:colOff>157967</xdr:colOff>
      <xdr:row>9</xdr:row>
      <xdr:rowOff>136508</xdr:rowOff>
    </xdr:to>
    <xdr:sp macro="" textlink="">
      <xdr:nvSpPr>
        <xdr:cNvPr id="7" name="Rectangle: Rounded Corners 6">
          <a:extLst>
            <a:ext uri="{FF2B5EF4-FFF2-40B4-BE49-F238E27FC236}">
              <a16:creationId xmlns:a16="http://schemas.microsoft.com/office/drawing/2014/main" id="{D69F205A-58EE-4AD6-02DE-B997F1C662B0}"/>
            </a:ext>
          </a:extLst>
        </xdr:cNvPr>
        <xdr:cNvSpPr/>
      </xdr:nvSpPr>
      <xdr:spPr>
        <a:xfrm>
          <a:off x="1226820" y="831231"/>
          <a:ext cx="1887707" cy="951197"/>
        </a:xfrm>
        <a:prstGeom prst="roundRect">
          <a:avLst>
            <a:gd name="adj" fmla="val 8854"/>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220981</xdr:colOff>
      <xdr:row>4</xdr:row>
      <xdr:rowOff>99711</xdr:rowOff>
    </xdr:from>
    <xdr:to>
      <xdr:col>6</xdr:col>
      <xdr:colOff>541021</xdr:colOff>
      <xdr:row>9</xdr:row>
      <xdr:rowOff>136508</xdr:rowOff>
    </xdr:to>
    <xdr:sp macro="" textlink="">
      <xdr:nvSpPr>
        <xdr:cNvPr id="8" name="Rectangle: Rounded Corners 7">
          <a:extLst>
            <a:ext uri="{FF2B5EF4-FFF2-40B4-BE49-F238E27FC236}">
              <a16:creationId xmlns:a16="http://schemas.microsoft.com/office/drawing/2014/main" id="{56840149-E147-4C4D-762F-12DF3273E70A}"/>
            </a:ext>
          </a:extLst>
        </xdr:cNvPr>
        <xdr:cNvSpPr/>
      </xdr:nvSpPr>
      <xdr:spPr>
        <a:xfrm>
          <a:off x="2659381" y="831231"/>
          <a:ext cx="1539240" cy="951197"/>
        </a:xfrm>
        <a:prstGeom prst="roundRect">
          <a:avLst>
            <a:gd name="adj" fmla="val 8854"/>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601981</xdr:colOff>
      <xdr:row>4</xdr:row>
      <xdr:rowOff>83820</xdr:rowOff>
    </xdr:from>
    <xdr:to>
      <xdr:col>9</xdr:col>
      <xdr:colOff>312420</xdr:colOff>
      <xdr:row>9</xdr:row>
      <xdr:rowOff>137160</xdr:rowOff>
    </xdr:to>
    <xdr:sp macro="" textlink="">
      <xdr:nvSpPr>
        <xdr:cNvPr id="9" name="Rectangle: Rounded Corners 8">
          <a:extLst>
            <a:ext uri="{FF2B5EF4-FFF2-40B4-BE49-F238E27FC236}">
              <a16:creationId xmlns:a16="http://schemas.microsoft.com/office/drawing/2014/main" id="{DA7E498E-1A19-6B61-2019-E356CB0C689D}"/>
            </a:ext>
          </a:extLst>
        </xdr:cNvPr>
        <xdr:cNvSpPr/>
      </xdr:nvSpPr>
      <xdr:spPr>
        <a:xfrm>
          <a:off x="5036821" y="815340"/>
          <a:ext cx="1927859" cy="967740"/>
        </a:xfrm>
        <a:prstGeom prst="roundRect">
          <a:avLst>
            <a:gd name="adj" fmla="val 8854"/>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480060</xdr:colOff>
      <xdr:row>14</xdr:row>
      <xdr:rowOff>160021</xdr:rowOff>
    </xdr:from>
    <xdr:to>
      <xdr:col>9</xdr:col>
      <xdr:colOff>320040</xdr:colOff>
      <xdr:row>26</xdr:row>
      <xdr:rowOff>53341</xdr:rowOff>
    </xdr:to>
    <xdr:sp macro="" textlink="">
      <xdr:nvSpPr>
        <xdr:cNvPr id="11" name="Rectangle: Rounded Corners 10">
          <a:extLst>
            <a:ext uri="{FF2B5EF4-FFF2-40B4-BE49-F238E27FC236}">
              <a16:creationId xmlns:a16="http://schemas.microsoft.com/office/drawing/2014/main" id="{BFCC555F-6578-BBFE-CBAE-748FB43CA55F}"/>
            </a:ext>
          </a:extLst>
        </xdr:cNvPr>
        <xdr:cNvSpPr/>
      </xdr:nvSpPr>
      <xdr:spPr>
        <a:xfrm>
          <a:off x="1219200" y="2720341"/>
          <a:ext cx="5753100" cy="2087880"/>
        </a:xfrm>
        <a:prstGeom prst="roundRect">
          <a:avLst>
            <a:gd name="adj" fmla="val 3380"/>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373380</xdr:colOff>
      <xdr:row>10</xdr:row>
      <xdr:rowOff>22860</xdr:rowOff>
    </xdr:from>
    <xdr:to>
      <xdr:col>15</xdr:col>
      <xdr:colOff>342900</xdr:colOff>
      <xdr:row>26</xdr:row>
      <xdr:rowOff>60960</xdr:rowOff>
    </xdr:to>
    <xdr:sp macro="" textlink="">
      <xdr:nvSpPr>
        <xdr:cNvPr id="19" name="Rectangle: Rounded Corners 18">
          <a:extLst>
            <a:ext uri="{FF2B5EF4-FFF2-40B4-BE49-F238E27FC236}">
              <a16:creationId xmlns:a16="http://schemas.microsoft.com/office/drawing/2014/main" id="{DC70153D-DE90-BCEA-92C0-CB1927587BF1}"/>
            </a:ext>
          </a:extLst>
        </xdr:cNvPr>
        <xdr:cNvSpPr/>
      </xdr:nvSpPr>
      <xdr:spPr>
        <a:xfrm>
          <a:off x="7025640" y="1851660"/>
          <a:ext cx="4404360" cy="2964180"/>
        </a:xfrm>
        <a:prstGeom prst="roundRect">
          <a:avLst>
            <a:gd name="adj" fmla="val 3160"/>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487680</xdr:colOff>
      <xdr:row>0</xdr:row>
      <xdr:rowOff>137160</xdr:rowOff>
    </xdr:from>
    <xdr:to>
      <xdr:col>7</xdr:col>
      <xdr:colOff>731520</xdr:colOff>
      <xdr:row>5</xdr:row>
      <xdr:rowOff>38100</xdr:rowOff>
    </xdr:to>
    <xdr:sp macro="" textlink="">
      <xdr:nvSpPr>
        <xdr:cNvPr id="20" name="TextBox 19">
          <a:extLst>
            <a:ext uri="{FF2B5EF4-FFF2-40B4-BE49-F238E27FC236}">
              <a16:creationId xmlns:a16="http://schemas.microsoft.com/office/drawing/2014/main" id="{F27F8D1E-3C76-8430-607B-E8118E7D7897}"/>
            </a:ext>
          </a:extLst>
        </xdr:cNvPr>
        <xdr:cNvSpPr txBox="1"/>
      </xdr:nvSpPr>
      <xdr:spPr>
        <a:xfrm>
          <a:off x="1226820" y="137160"/>
          <a:ext cx="4678680" cy="815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2000"/>
            <a:t>Hospital Emergeny Room </a:t>
          </a:r>
          <a:r>
            <a:rPr lang="en-IN" sz="2000">
              <a:solidFill>
                <a:schemeClr val="tx1"/>
              </a:solidFill>
            </a:rPr>
            <a:t>Dashboard</a:t>
          </a:r>
        </a:p>
      </xdr:txBody>
    </xdr:sp>
    <xdr:clientData/>
  </xdr:twoCellAnchor>
  <xdr:twoCellAnchor editAs="oneCell">
    <xdr:from>
      <xdr:col>0</xdr:col>
      <xdr:colOff>0</xdr:colOff>
      <xdr:row>0</xdr:row>
      <xdr:rowOff>26226</xdr:rowOff>
    </xdr:from>
    <xdr:to>
      <xdr:col>1</xdr:col>
      <xdr:colOff>601980</xdr:colOff>
      <xdr:row>4</xdr:row>
      <xdr:rowOff>91440</xdr:rowOff>
    </xdr:to>
    <xdr:pic>
      <xdr:nvPicPr>
        <xdr:cNvPr id="22" name="Picture 21">
          <a:extLst>
            <a:ext uri="{FF2B5EF4-FFF2-40B4-BE49-F238E27FC236}">
              <a16:creationId xmlns:a16="http://schemas.microsoft.com/office/drawing/2014/main" id="{9476311E-9D60-F835-4B74-54FDA6653E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6226"/>
          <a:ext cx="1341120" cy="796734"/>
        </a:xfrm>
        <a:prstGeom prst="rect">
          <a:avLst/>
        </a:prstGeom>
      </xdr:spPr>
    </xdr:pic>
    <xdr:clientData/>
  </xdr:twoCellAnchor>
  <xdr:twoCellAnchor editAs="absolute">
    <xdr:from>
      <xdr:col>2</xdr:col>
      <xdr:colOff>129540</xdr:colOff>
      <xdr:row>6</xdr:row>
      <xdr:rowOff>167640</xdr:rowOff>
    </xdr:from>
    <xdr:to>
      <xdr:col>4</xdr:col>
      <xdr:colOff>525780</xdr:colOff>
      <xdr:row>9</xdr:row>
      <xdr:rowOff>22860</xdr:rowOff>
    </xdr:to>
    <xdr:sp macro="" textlink="">
      <xdr:nvSpPr>
        <xdr:cNvPr id="23" name="TextBox 22">
          <a:extLst>
            <a:ext uri="{FF2B5EF4-FFF2-40B4-BE49-F238E27FC236}">
              <a16:creationId xmlns:a16="http://schemas.microsoft.com/office/drawing/2014/main" id="{E44619BF-6F44-9557-30FE-FFBC1F466F0A}"/>
            </a:ext>
          </a:extLst>
        </xdr:cNvPr>
        <xdr:cNvSpPr txBox="1"/>
      </xdr:nvSpPr>
      <xdr:spPr>
        <a:xfrm>
          <a:off x="1607820" y="1264920"/>
          <a:ext cx="187452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a:solidFill>
                <a:schemeClr val="tx1"/>
              </a:solidFill>
            </a:rPr>
            <a:t>No.</a:t>
          </a:r>
          <a:r>
            <a:rPr lang="en-IN" sz="1400" baseline="0">
              <a:solidFill>
                <a:schemeClr val="tx1"/>
              </a:solidFill>
            </a:rPr>
            <a:t> of Patients</a:t>
          </a:r>
          <a:endParaRPr lang="en-IN" sz="1400">
            <a:solidFill>
              <a:schemeClr val="tx1"/>
            </a:solidFill>
          </a:endParaRPr>
        </a:p>
      </xdr:txBody>
    </xdr:sp>
    <xdr:clientData/>
  </xdr:twoCellAnchor>
  <xdr:twoCellAnchor editAs="absolute">
    <xdr:from>
      <xdr:col>2</xdr:col>
      <xdr:colOff>15240</xdr:colOff>
      <xdr:row>13</xdr:row>
      <xdr:rowOff>121920</xdr:rowOff>
    </xdr:from>
    <xdr:to>
      <xdr:col>9</xdr:col>
      <xdr:colOff>129540</xdr:colOff>
      <xdr:row>15</xdr:row>
      <xdr:rowOff>160020</xdr:rowOff>
    </xdr:to>
    <xdr:sp macro="" textlink="">
      <xdr:nvSpPr>
        <xdr:cNvPr id="24" name="TextBox 23">
          <a:extLst>
            <a:ext uri="{FF2B5EF4-FFF2-40B4-BE49-F238E27FC236}">
              <a16:creationId xmlns:a16="http://schemas.microsoft.com/office/drawing/2014/main" id="{1D7B7F81-51A0-843A-A4D8-67CE7D78CC70}"/>
            </a:ext>
          </a:extLst>
        </xdr:cNvPr>
        <xdr:cNvSpPr txBox="1"/>
      </xdr:nvSpPr>
      <xdr:spPr>
        <a:xfrm>
          <a:off x="1493520" y="2499360"/>
          <a:ext cx="528828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endParaRPr lang="en-US"/>
        </a:p>
      </xdr:txBody>
    </xdr:sp>
    <xdr:clientData/>
  </xdr:twoCellAnchor>
  <xdr:twoCellAnchor editAs="absolute">
    <xdr:from>
      <xdr:col>2</xdr:col>
      <xdr:colOff>441960</xdr:colOff>
      <xdr:row>5</xdr:row>
      <xdr:rowOff>99060</xdr:rowOff>
    </xdr:from>
    <xdr:to>
      <xdr:col>3</xdr:col>
      <xdr:colOff>388620</xdr:colOff>
      <xdr:row>7</xdr:row>
      <xdr:rowOff>15240</xdr:rowOff>
    </xdr:to>
    <xdr:sp macro="" textlink="'pivot report'!A4">
      <xdr:nvSpPr>
        <xdr:cNvPr id="25" name="TextBox 24">
          <a:extLst>
            <a:ext uri="{FF2B5EF4-FFF2-40B4-BE49-F238E27FC236}">
              <a16:creationId xmlns:a16="http://schemas.microsoft.com/office/drawing/2014/main" id="{D587388C-F4E7-A8C5-CE0E-3AD505BBAF3B}"/>
            </a:ext>
          </a:extLst>
        </xdr:cNvPr>
        <xdr:cNvSpPr txBox="1"/>
      </xdr:nvSpPr>
      <xdr:spPr>
        <a:xfrm>
          <a:off x="1920240" y="1013460"/>
          <a:ext cx="6858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2C88C268-17CC-4BB4-9205-00DB9BB7DF5F}" type="TxLink">
            <a:rPr lang="en-US" sz="1800" b="0" i="0" u="none" strike="noStrike">
              <a:solidFill>
                <a:srgbClr val="000000"/>
              </a:solidFill>
              <a:latin typeface="Calibri"/>
              <a:ea typeface="Calibri"/>
              <a:cs typeface="Calibri"/>
            </a:rPr>
            <a:pPr/>
            <a:t>513</a:t>
          </a:fld>
          <a:endParaRPr lang="en-US" sz="1800"/>
        </a:p>
      </xdr:txBody>
    </xdr:sp>
    <xdr:clientData/>
  </xdr:twoCellAnchor>
  <xdr:twoCellAnchor editAs="absolute">
    <xdr:from>
      <xdr:col>4</xdr:col>
      <xdr:colOff>495300</xdr:colOff>
      <xdr:row>6</xdr:row>
      <xdr:rowOff>175260</xdr:rowOff>
    </xdr:from>
    <xdr:to>
      <xdr:col>7</xdr:col>
      <xdr:colOff>152400</xdr:colOff>
      <xdr:row>9</xdr:row>
      <xdr:rowOff>30480</xdr:rowOff>
    </xdr:to>
    <xdr:sp macro="" textlink="">
      <xdr:nvSpPr>
        <xdr:cNvPr id="27" name="TextBox 26">
          <a:extLst>
            <a:ext uri="{FF2B5EF4-FFF2-40B4-BE49-F238E27FC236}">
              <a16:creationId xmlns:a16="http://schemas.microsoft.com/office/drawing/2014/main" id="{50F1AE5A-A409-FEEC-01F9-5CE57280E793}"/>
            </a:ext>
          </a:extLst>
        </xdr:cNvPr>
        <xdr:cNvSpPr txBox="1"/>
      </xdr:nvSpPr>
      <xdr:spPr>
        <a:xfrm>
          <a:off x="3451860" y="1272540"/>
          <a:ext cx="187452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a:solidFill>
                <a:schemeClr val="tx1"/>
              </a:solidFill>
            </a:rPr>
            <a:t>Average</a:t>
          </a:r>
          <a:r>
            <a:rPr lang="en-IN" sz="1400" baseline="0">
              <a:solidFill>
                <a:schemeClr val="tx1"/>
              </a:solidFill>
            </a:rPr>
            <a:t> Wait Time</a:t>
          </a:r>
          <a:endParaRPr lang="en-IN" sz="1400">
            <a:solidFill>
              <a:schemeClr val="tx1"/>
            </a:solidFill>
          </a:endParaRPr>
        </a:p>
      </xdr:txBody>
    </xdr:sp>
    <xdr:clientData/>
  </xdr:twoCellAnchor>
  <xdr:twoCellAnchor editAs="absolute">
    <xdr:from>
      <xdr:col>5</xdr:col>
      <xdr:colOff>129540</xdr:colOff>
      <xdr:row>5</xdr:row>
      <xdr:rowOff>99060</xdr:rowOff>
    </xdr:from>
    <xdr:to>
      <xdr:col>6</xdr:col>
      <xdr:colOff>76200</xdr:colOff>
      <xdr:row>7</xdr:row>
      <xdr:rowOff>15240</xdr:rowOff>
    </xdr:to>
    <xdr:sp macro="" textlink="'pivot report'!A8">
      <xdr:nvSpPr>
        <xdr:cNvPr id="28" name="TextBox 27">
          <a:extLst>
            <a:ext uri="{FF2B5EF4-FFF2-40B4-BE49-F238E27FC236}">
              <a16:creationId xmlns:a16="http://schemas.microsoft.com/office/drawing/2014/main" id="{0966DEC3-4CDE-7813-C6D4-8C264727550A}"/>
            </a:ext>
          </a:extLst>
        </xdr:cNvPr>
        <xdr:cNvSpPr txBox="1"/>
      </xdr:nvSpPr>
      <xdr:spPr>
        <a:xfrm>
          <a:off x="3825240" y="1013460"/>
          <a:ext cx="6858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0CF55795-B6C9-483F-868D-53ABE2E63E41}" type="TxLink">
            <a:rPr lang="en-US" sz="1800" b="0" i="0" u="none" strike="noStrike">
              <a:solidFill>
                <a:srgbClr val="000000"/>
              </a:solidFill>
              <a:latin typeface="Calibri"/>
              <a:ea typeface="Calibri"/>
              <a:cs typeface="Calibri"/>
            </a:rPr>
            <a:pPr/>
            <a:t>36.32</a:t>
          </a:fld>
          <a:endParaRPr lang="en-US" sz="1800"/>
        </a:p>
      </xdr:txBody>
    </xdr:sp>
    <xdr:clientData/>
  </xdr:twoCellAnchor>
  <xdr:twoCellAnchor editAs="absolute">
    <xdr:from>
      <xdr:col>6</xdr:col>
      <xdr:colOff>670560</xdr:colOff>
      <xdr:row>6</xdr:row>
      <xdr:rowOff>175260</xdr:rowOff>
    </xdr:from>
    <xdr:to>
      <xdr:col>9</xdr:col>
      <xdr:colOff>327660</xdr:colOff>
      <xdr:row>9</xdr:row>
      <xdr:rowOff>30480</xdr:rowOff>
    </xdr:to>
    <xdr:sp macro="" textlink="">
      <xdr:nvSpPr>
        <xdr:cNvPr id="29" name="TextBox 28">
          <a:extLst>
            <a:ext uri="{FF2B5EF4-FFF2-40B4-BE49-F238E27FC236}">
              <a16:creationId xmlns:a16="http://schemas.microsoft.com/office/drawing/2014/main" id="{4B97745E-F88C-93C6-641C-693AD92F87DD}"/>
            </a:ext>
          </a:extLst>
        </xdr:cNvPr>
        <xdr:cNvSpPr txBox="1"/>
      </xdr:nvSpPr>
      <xdr:spPr>
        <a:xfrm>
          <a:off x="5105400" y="1272540"/>
          <a:ext cx="187452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a:solidFill>
                <a:schemeClr val="tx1"/>
              </a:solidFill>
            </a:rPr>
            <a:t>Patient</a:t>
          </a:r>
          <a:r>
            <a:rPr lang="en-IN" sz="1400" baseline="0">
              <a:solidFill>
                <a:schemeClr val="tx1"/>
              </a:solidFill>
            </a:rPr>
            <a:t> satisfaction score</a:t>
          </a:r>
          <a:endParaRPr lang="en-IN" sz="1400">
            <a:solidFill>
              <a:schemeClr val="tx1"/>
            </a:solidFill>
          </a:endParaRPr>
        </a:p>
      </xdr:txBody>
    </xdr:sp>
    <xdr:clientData/>
  </xdr:twoCellAnchor>
  <xdr:twoCellAnchor editAs="absolute">
    <xdr:from>
      <xdr:col>7</xdr:col>
      <xdr:colOff>563880</xdr:colOff>
      <xdr:row>5</xdr:row>
      <xdr:rowOff>106680</xdr:rowOff>
    </xdr:from>
    <xdr:to>
      <xdr:col>8</xdr:col>
      <xdr:colOff>510540</xdr:colOff>
      <xdr:row>7</xdr:row>
      <xdr:rowOff>22860</xdr:rowOff>
    </xdr:to>
    <xdr:sp macro="" textlink="'pivot report'!A12">
      <xdr:nvSpPr>
        <xdr:cNvPr id="30" name="TextBox 29">
          <a:extLst>
            <a:ext uri="{FF2B5EF4-FFF2-40B4-BE49-F238E27FC236}">
              <a16:creationId xmlns:a16="http://schemas.microsoft.com/office/drawing/2014/main" id="{991F463F-6078-F6F2-3677-F02EB33163BA}"/>
            </a:ext>
          </a:extLst>
        </xdr:cNvPr>
        <xdr:cNvSpPr txBox="1"/>
      </xdr:nvSpPr>
      <xdr:spPr>
        <a:xfrm>
          <a:off x="5737860" y="1021080"/>
          <a:ext cx="6858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9F2EDE2A-27BB-4A84-82B8-E25558084C54}" type="TxLink">
            <a:rPr lang="en-US" sz="1800" b="0" i="0" u="none" strike="noStrike">
              <a:solidFill>
                <a:srgbClr val="000000"/>
              </a:solidFill>
              <a:latin typeface="Calibri"/>
              <a:ea typeface="Calibri"/>
              <a:cs typeface="Calibri"/>
            </a:rPr>
            <a:pPr/>
            <a:t>4.96</a:t>
          </a:fld>
          <a:endParaRPr lang="en-US" sz="1800"/>
        </a:p>
      </xdr:txBody>
    </xdr:sp>
    <xdr:clientData/>
  </xdr:twoCellAnchor>
  <xdr:twoCellAnchor editAs="oneCell">
    <xdr:from>
      <xdr:col>3</xdr:col>
      <xdr:colOff>586740</xdr:colOff>
      <xdr:row>4</xdr:row>
      <xdr:rowOff>160020</xdr:rowOff>
    </xdr:from>
    <xdr:to>
      <xdr:col>4</xdr:col>
      <xdr:colOff>144780</xdr:colOff>
      <xdr:row>6</xdr:row>
      <xdr:rowOff>91440</xdr:rowOff>
    </xdr:to>
    <xdr:pic>
      <xdr:nvPicPr>
        <xdr:cNvPr id="32" name="Graphic 31" descr="User with solid fill">
          <a:extLst>
            <a:ext uri="{FF2B5EF4-FFF2-40B4-BE49-F238E27FC236}">
              <a16:creationId xmlns:a16="http://schemas.microsoft.com/office/drawing/2014/main" id="{82769327-11B8-6979-A6A7-45469569579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04160" y="891540"/>
          <a:ext cx="297180" cy="297180"/>
        </a:xfrm>
        <a:prstGeom prst="rect">
          <a:avLst/>
        </a:prstGeom>
      </xdr:spPr>
    </xdr:pic>
    <xdr:clientData/>
  </xdr:twoCellAnchor>
  <xdr:twoCellAnchor editAs="oneCell">
    <xdr:from>
      <xdr:col>6</xdr:col>
      <xdr:colOff>251460</xdr:colOff>
      <xdr:row>4</xdr:row>
      <xdr:rowOff>160020</xdr:rowOff>
    </xdr:from>
    <xdr:to>
      <xdr:col>6</xdr:col>
      <xdr:colOff>548640</xdr:colOff>
      <xdr:row>6</xdr:row>
      <xdr:rowOff>91440</xdr:rowOff>
    </xdr:to>
    <xdr:pic>
      <xdr:nvPicPr>
        <xdr:cNvPr id="34" name="Graphic 33" descr="Hourglass Finished with solid fill">
          <a:extLst>
            <a:ext uri="{FF2B5EF4-FFF2-40B4-BE49-F238E27FC236}">
              <a16:creationId xmlns:a16="http://schemas.microsoft.com/office/drawing/2014/main" id="{A4CE4F1D-0ABB-3085-B9AC-D8BCFC6A88B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686300" y="891540"/>
          <a:ext cx="297180" cy="297180"/>
        </a:xfrm>
        <a:prstGeom prst="rect">
          <a:avLst/>
        </a:prstGeom>
      </xdr:spPr>
    </xdr:pic>
    <xdr:clientData/>
  </xdr:twoCellAnchor>
  <xdr:twoCellAnchor editAs="oneCell">
    <xdr:from>
      <xdr:col>8</xdr:col>
      <xdr:colOff>672338</xdr:colOff>
      <xdr:row>4</xdr:row>
      <xdr:rowOff>155956</xdr:rowOff>
    </xdr:from>
    <xdr:to>
      <xdr:col>9</xdr:col>
      <xdr:colOff>240284</xdr:colOff>
      <xdr:row>6</xdr:row>
      <xdr:rowOff>97282</xdr:rowOff>
    </xdr:to>
    <xdr:pic>
      <xdr:nvPicPr>
        <xdr:cNvPr id="36" name="Graphic 35" descr="Customer review with solid fill">
          <a:extLst>
            <a:ext uri="{FF2B5EF4-FFF2-40B4-BE49-F238E27FC236}">
              <a16:creationId xmlns:a16="http://schemas.microsoft.com/office/drawing/2014/main" id="{20037220-C64C-1650-DAD0-75240A29045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585458" y="887476"/>
          <a:ext cx="307086" cy="307086"/>
        </a:xfrm>
        <a:prstGeom prst="rect">
          <a:avLst/>
        </a:prstGeom>
      </xdr:spPr>
    </xdr:pic>
    <xdr:clientData/>
  </xdr:twoCellAnchor>
  <xdr:twoCellAnchor editAs="oneCell">
    <xdr:from>
      <xdr:col>0</xdr:col>
      <xdr:colOff>160020</xdr:colOff>
      <xdr:row>5</xdr:row>
      <xdr:rowOff>137160</xdr:rowOff>
    </xdr:from>
    <xdr:to>
      <xdr:col>1</xdr:col>
      <xdr:colOff>335280</xdr:colOff>
      <xdr:row>25</xdr:row>
      <xdr:rowOff>99060</xdr:rowOff>
    </xdr:to>
    <mc:AlternateContent xmlns:mc="http://schemas.openxmlformats.org/markup-compatibility/2006" xmlns:a14="http://schemas.microsoft.com/office/drawing/2010/main">
      <mc:Choice Requires="a14">
        <xdr:graphicFrame macro="">
          <xdr:nvGraphicFramePr>
            <xdr:cNvPr id="37" name="Date (Month)">
              <a:extLst>
                <a:ext uri="{FF2B5EF4-FFF2-40B4-BE49-F238E27FC236}">
                  <a16:creationId xmlns:a16="http://schemas.microsoft.com/office/drawing/2014/main" id="{775AC318-B0F0-4CF7-892A-193031BB1100}"/>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60020" y="1051560"/>
              <a:ext cx="914400" cy="3619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411480</xdr:colOff>
      <xdr:row>7</xdr:row>
      <xdr:rowOff>7620</xdr:rowOff>
    </xdr:from>
    <xdr:to>
      <xdr:col>4</xdr:col>
      <xdr:colOff>213360</xdr:colOff>
      <xdr:row>10</xdr:row>
      <xdr:rowOff>7620</xdr:rowOff>
    </xdr:to>
    <xdr:graphicFrame macro="">
      <xdr:nvGraphicFramePr>
        <xdr:cNvPr id="10" name="Chart 9">
          <a:hlinkClick xmlns:r="http://schemas.openxmlformats.org/officeDocument/2006/relationships" r:id="rId8"/>
          <a:extLst>
            <a:ext uri="{FF2B5EF4-FFF2-40B4-BE49-F238E27FC236}">
              <a16:creationId xmlns:a16="http://schemas.microsoft.com/office/drawing/2014/main" id="{8F3DF70D-2712-4728-B396-2724545401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152400</xdr:colOff>
      <xdr:row>7</xdr:row>
      <xdr:rowOff>99060</xdr:rowOff>
    </xdr:from>
    <xdr:to>
      <xdr:col>6</xdr:col>
      <xdr:colOff>609600</xdr:colOff>
      <xdr:row>10</xdr:row>
      <xdr:rowOff>76200</xdr:rowOff>
    </xdr:to>
    <xdr:graphicFrame macro="">
      <xdr:nvGraphicFramePr>
        <xdr:cNvPr id="13" name="Chart 12">
          <a:hlinkClick xmlns:r="http://schemas.openxmlformats.org/officeDocument/2006/relationships" r:id="rId10"/>
          <a:extLst>
            <a:ext uri="{FF2B5EF4-FFF2-40B4-BE49-F238E27FC236}">
              <a16:creationId xmlns:a16="http://schemas.microsoft.com/office/drawing/2014/main" id="{C1A7B2C2-79C6-423F-B723-610985C092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541020</xdr:colOff>
      <xdr:row>8</xdr:row>
      <xdr:rowOff>22860</xdr:rowOff>
    </xdr:from>
    <xdr:to>
      <xdr:col>9</xdr:col>
      <xdr:colOff>434340</xdr:colOff>
      <xdr:row>9</xdr:row>
      <xdr:rowOff>129540</xdr:rowOff>
    </xdr:to>
    <xdr:graphicFrame macro="">
      <xdr:nvGraphicFramePr>
        <xdr:cNvPr id="15" name="Chart 14">
          <a:hlinkClick xmlns:r="http://schemas.openxmlformats.org/officeDocument/2006/relationships" r:id="rId12"/>
          <a:extLst>
            <a:ext uri="{FF2B5EF4-FFF2-40B4-BE49-F238E27FC236}">
              <a16:creationId xmlns:a16="http://schemas.microsoft.com/office/drawing/2014/main" id="{5AEA0952-E246-45C6-A796-24159FC236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525780</xdr:colOff>
      <xdr:row>16</xdr:row>
      <xdr:rowOff>7620</xdr:rowOff>
    </xdr:from>
    <xdr:to>
      <xdr:col>9</xdr:col>
      <xdr:colOff>60960</xdr:colOff>
      <xdr:row>24</xdr:row>
      <xdr:rowOff>38100</xdr:rowOff>
    </xdr:to>
    <xdr:graphicFrame macro="">
      <xdr:nvGraphicFramePr>
        <xdr:cNvPr id="35" name="Chart 34">
          <a:extLst>
            <a:ext uri="{FF2B5EF4-FFF2-40B4-BE49-F238E27FC236}">
              <a16:creationId xmlns:a16="http://schemas.microsoft.com/office/drawing/2014/main" id="{FF001232-1508-48BB-AB79-12F052F406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4</xdr:col>
      <xdr:colOff>289560</xdr:colOff>
      <xdr:row>24</xdr:row>
      <xdr:rowOff>91440</xdr:rowOff>
    </xdr:from>
    <xdr:to>
      <xdr:col>6</xdr:col>
      <xdr:colOff>708660</xdr:colOff>
      <xdr:row>26</xdr:row>
      <xdr:rowOff>45720</xdr:rowOff>
    </xdr:to>
    <xdr:sp macro="" textlink="'pivot report'!A8">
      <xdr:nvSpPr>
        <xdr:cNvPr id="40" name="TextBox 39">
          <a:extLst>
            <a:ext uri="{FF2B5EF4-FFF2-40B4-BE49-F238E27FC236}">
              <a16:creationId xmlns:a16="http://schemas.microsoft.com/office/drawing/2014/main" id="{0DD213D9-7B7E-87E9-CA8D-929B2985FBC5}"/>
            </a:ext>
          </a:extLst>
        </xdr:cNvPr>
        <xdr:cNvSpPr txBox="1"/>
      </xdr:nvSpPr>
      <xdr:spPr>
        <a:xfrm>
          <a:off x="3246120" y="4480560"/>
          <a:ext cx="189738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600"/>
            <a:t>No.</a:t>
          </a:r>
          <a:r>
            <a:rPr lang="en-US" sz="1600" baseline="0"/>
            <a:t> of Patients</a:t>
          </a:r>
          <a:endParaRPr lang="en-US" sz="1600"/>
        </a:p>
      </xdr:txBody>
    </xdr:sp>
    <xdr:clientData/>
  </xdr:twoCellAnchor>
  <xdr:twoCellAnchor>
    <xdr:from>
      <xdr:col>9</xdr:col>
      <xdr:colOff>434340</xdr:colOff>
      <xdr:row>0</xdr:row>
      <xdr:rowOff>45720</xdr:rowOff>
    </xdr:from>
    <xdr:to>
      <xdr:col>12</xdr:col>
      <xdr:colOff>243840</xdr:colOff>
      <xdr:row>8</xdr:row>
      <xdr:rowOff>99060</xdr:rowOff>
    </xdr:to>
    <xdr:graphicFrame macro="">
      <xdr:nvGraphicFramePr>
        <xdr:cNvPr id="43" name="Chart 42">
          <a:extLst>
            <a:ext uri="{FF2B5EF4-FFF2-40B4-BE49-F238E27FC236}">
              <a16:creationId xmlns:a16="http://schemas.microsoft.com/office/drawing/2014/main" id="{14729A38-9FD2-4744-877C-557C2F167D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9</xdr:col>
      <xdr:colOff>685800</xdr:colOff>
      <xdr:row>8</xdr:row>
      <xdr:rowOff>53340</xdr:rowOff>
    </xdr:from>
    <xdr:to>
      <xdr:col>12</xdr:col>
      <xdr:colOff>342900</xdr:colOff>
      <xdr:row>10</xdr:row>
      <xdr:rowOff>91440</xdr:rowOff>
    </xdr:to>
    <xdr:sp macro="" textlink="">
      <xdr:nvSpPr>
        <xdr:cNvPr id="44" name="TextBox 43">
          <a:extLst>
            <a:ext uri="{FF2B5EF4-FFF2-40B4-BE49-F238E27FC236}">
              <a16:creationId xmlns:a16="http://schemas.microsoft.com/office/drawing/2014/main" id="{6BFEF7E8-9579-D843-A3AD-5F52A5E5827F}"/>
            </a:ext>
          </a:extLst>
        </xdr:cNvPr>
        <xdr:cNvSpPr txBox="1"/>
      </xdr:nvSpPr>
      <xdr:spPr>
        <a:xfrm>
          <a:off x="7338060" y="1516380"/>
          <a:ext cx="187452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a:solidFill>
                <a:schemeClr val="tx1"/>
              </a:solidFill>
            </a:rPr>
            <a:t>Patient</a:t>
          </a:r>
          <a:r>
            <a:rPr lang="en-IN" sz="1400" baseline="0">
              <a:solidFill>
                <a:schemeClr val="tx1"/>
              </a:solidFill>
            </a:rPr>
            <a:t> attend status</a:t>
          </a:r>
        </a:p>
        <a:p>
          <a:endParaRPr lang="en-IN" sz="1400">
            <a:solidFill>
              <a:schemeClr val="tx1"/>
            </a:solidFill>
          </a:endParaRPr>
        </a:p>
      </xdr:txBody>
    </xdr:sp>
    <xdr:clientData/>
  </xdr:twoCellAnchor>
  <xdr:twoCellAnchor>
    <xdr:from>
      <xdr:col>12</xdr:col>
      <xdr:colOff>419100</xdr:colOff>
      <xdr:row>0</xdr:row>
      <xdr:rowOff>99060</xdr:rowOff>
    </xdr:from>
    <xdr:to>
      <xdr:col>15</xdr:col>
      <xdr:colOff>83820</xdr:colOff>
      <xdr:row>10</xdr:row>
      <xdr:rowOff>30480</xdr:rowOff>
    </xdr:to>
    <xdr:graphicFrame macro="">
      <xdr:nvGraphicFramePr>
        <xdr:cNvPr id="45" name="Chart 44">
          <a:extLst>
            <a:ext uri="{FF2B5EF4-FFF2-40B4-BE49-F238E27FC236}">
              <a16:creationId xmlns:a16="http://schemas.microsoft.com/office/drawing/2014/main" id="{72F4E623-E0EC-46A6-AD03-E8F91E8DAF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12</xdr:col>
      <xdr:colOff>716280</xdr:colOff>
      <xdr:row>8</xdr:row>
      <xdr:rowOff>60960</xdr:rowOff>
    </xdr:from>
    <xdr:to>
      <xdr:col>15</xdr:col>
      <xdr:colOff>373380</xdr:colOff>
      <xdr:row>10</xdr:row>
      <xdr:rowOff>99060</xdr:rowOff>
    </xdr:to>
    <xdr:sp macro="" textlink="">
      <xdr:nvSpPr>
        <xdr:cNvPr id="46" name="TextBox 45">
          <a:extLst>
            <a:ext uri="{FF2B5EF4-FFF2-40B4-BE49-F238E27FC236}">
              <a16:creationId xmlns:a16="http://schemas.microsoft.com/office/drawing/2014/main" id="{C9EE8038-082C-02BA-DA45-EB884D0814F3}"/>
            </a:ext>
          </a:extLst>
        </xdr:cNvPr>
        <xdr:cNvSpPr txBox="1"/>
      </xdr:nvSpPr>
      <xdr:spPr>
        <a:xfrm>
          <a:off x="9585960" y="1524000"/>
          <a:ext cx="187452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baseline="0">
              <a:solidFill>
                <a:schemeClr val="tx1"/>
              </a:solidFill>
            </a:rPr>
            <a:t>Gender wise analysis</a:t>
          </a:r>
        </a:p>
      </xdr:txBody>
    </xdr:sp>
    <xdr:clientData/>
  </xdr:twoCellAnchor>
  <xdr:twoCellAnchor>
    <xdr:from>
      <xdr:col>9</xdr:col>
      <xdr:colOff>358140</xdr:colOff>
      <xdr:row>10</xdr:row>
      <xdr:rowOff>30480</xdr:rowOff>
    </xdr:from>
    <xdr:to>
      <xdr:col>15</xdr:col>
      <xdr:colOff>274320</xdr:colOff>
      <xdr:row>25</xdr:row>
      <xdr:rowOff>53340</xdr:rowOff>
    </xdr:to>
    <xdr:graphicFrame macro="">
      <xdr:nvGraphicFramePr>
        <xdr:cNvPr id="47" name="Chart 46">
          <a:extLst>
            <a:ext uri="{FF2B5EF4-FFF2-40B4-BE49-F238E27FC236}">
              <a16:creationId xmlns:a16="http://schemas.microsoft.com/office/drawing/2014/main" id="{3335BA3E-49AB-4A15-AE96-0A3DE232B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10</xdr:col>
      <xdr:colOff>411480</xdr:colOff>
      <xdr:row>24</xdr:row>
      <xdr:rowOff>106680</xdr:rowOff>
    </xdr:from>
    <xdr:to>
      <xdr:col>14</xdr:col>
      <xdr:colOff>716280</xdr:colOff>
      <xdr:row>26</xdr:row>
      <xdr:rowOff>144780</xdr:rowOff>
    </xdr:to>
    <xdr:sp macro="" textlink="">
      <xdr:nvSpPr>
        <xdr:cNvPr id="50" name="TextBox 49">
          <a:extLst>
            <a:ext uri="{FF2B5EF4-FFF2-40B4-BE49-F238E27FC236}">
              <a16:creationId xmlns:a16="http://schemas.microsoft.com/office/drawing/2014/main" id="{2182A291-1E4C-973B-CAED-530C8481F244}"/>
            </a:ext>
          </a:extLst>
        </xdr:cNvPr>
        <xdr:cNvSpPr txBox="1"/>
      </xdr:nvSpPr>
      <xdr:spPr>
        <a:xfrm>
          <a:off x="7802880" y="4495800"/>
          <a:ext cx="326136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baseline="0">
              <a:solidFill>
                <a:schemeClr val="tx1"/>
              </a:solidFill>
            </a:rPr>
            <a:t>No. of </a:t>
          </a:r>
          <a:r>
            <a:rPr lang="en-IN" sz="1600" baseline="0">
              <a:solidFill>
                <a:schemeClr val="tx1"/>
              </a:solidFill>
            </a:rPr>
            <a:t>Patients</a:t>
          </a:r>
          <a:r>
            <a:rPr lang="en-IN" sz="1400" baseline="0">
              <a:solidFill>
                <a:schemeClr val="tx1"/>
              </a:solidFill>
            </a:rPr>
            <a:t> by Department Referral</a:t>
          </a:r>
        </a:p>
      </xdr:txBody>
    </xdr:sp>
    <xdr:clientData/>
  </xdr:twoCellAnchor>
  <xdr:twoCellAnchor editAs="oneCell">
    <xdr:from>
      <xdr:col>7</xdr:col>
      <xdr:colOff>373380</xdr:colOff>
      <xdr:row>1</xdr:row>
      <xdr:rowOff>38100</xdr:rowOff>
    </xdr:from>
    <xdr:to>
      <xdr:col>9</xdr:col>
      <xdr:colOff>251460</xdr:colOff>
      <xdr:row>3</xdr:row>
      <xdr:rowOff>152400</xdr:rowOff>
    </xdr:to>
    <mc:AlternateContent xmlns:mc="http://schemas.openxmlformats.org/markup-compatibility/2006" xmlns:a14="http://schemas.microsoft.com/office/drawing/2010/main">
      <mc:Choice Requires="a14">
        <xdr:graphicFrame macro="">
          <xdr:nvGraphicFramePr>
            <xdr:cNvPr id="51" name="Date (Year)">
              <a:extLst>
                <a:ext uri="{FF2B5EF4-FFF2-40B4-BE49-F238E27FC236}">
                  <a16:creationId xmlns:a16="http://schemas.microsoft.com/office/drawing/2014/main" id="{44EFA997-9877-4354-95ED-AAC436EC0B04}"/>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5547360" y="220980"/>
              <a:ext cx="1356360" cy="480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495300</xdr:colOff>
      <xdr:row>10</xdr:row>
      <xdr:rowOff>7620</xdr:rowOff>
    </xdr:from>
    <xdr:to>
      <xdr:col>9</xdr:col>
      <xdr:colOff>312420</xdr:colOff>
      <xdr:row>14</xdr:row>
      <xdr:rowOff>91440</xdr:rowOff>
    </xdr:to>
    <xdr:pic>
      <xdr:nvPicPr>
        <xdr:cNvPr id="52" name="Picture 51">
          <a:extLst>
            <a:ext uri="{FF2B5EF4-FFF2-40B4-BE49-F238E27FC236}">
              <a16:creationId xmlns:a16="http://schemas.microsoft.com/office/drawing/2014/main" id="{21975F63-B341-6430-8C77-786822468383}"/>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234440" y="1836420"/>
          <a:ext cx="5730240" cy="815340"/>
        </a:xfrm>
        <a:prstGeom prst="roundRect">
          <a:avLst>
            <a:gd name="adj" fmla="val 14798"/>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xmlns:a14="http://schemas.microsoft.com/office/drawing/2010/main">
              <a:solidFill>
                <a:srgbClr val="FFFFFF"/>
              </a:solidFill>
            </a14:hiddenFill>
          </a:ext>
        </a:ex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yal Kumari" refreshedDate="46140.99470844907" createdVersion="5" refreshedVersion="8" minRefreshableVersion="3" recordCount="0" supportSubquery="1" supportAdvancedDrill="1" xr:uid="{63871E4D-D16A-4F4E-AA13-6B80790CF4FD}">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yal Kumari" refreshedDate="46140.994708796294" createdVersion="5" refreshedVersion="8" minRefreshableVersion="3" recordCount="0" supportSubquery="1" supportAdvancedDrill="1" xr:uid="{B45B2DFB-545B-4F48-BE42-8B8821063824}">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yal Kumari" refreshedDate="46140.994709027778" createdVersion="5" refreshedVersion="8" minRefreshableVersion="3" recordCount="0" supportSubquery="1" supportAdvancedDrill="1" xr:uid="{04F1A533-3149-4A59-8397-4094CB1F57C4}">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yal Kumari" refreshedDate="46140.994709259263" createdVersion="5" refreshedVersion="8" minRefreshableVersion="3" recordCount="0" supportSubquery="1" supportAdvancedDrill="1" xr:uid="{51C2FCDC-26E1-484E-A6BC-ADBC9F5380C9}">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yal Kumari" refreshedDate="46140.994709953702" createdVersion="5" refreshedVersion="8" minRefreshableVersion="3" recordCount="0" supportSubquery="1" supportAdvancedDrill="1" xr:uid="{E677D550-FF1B-46FA-8593-4272517FCCDE}">
  <cacheSource type="external" connectionId="3"/>
  <cacheFields count="4">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yal Kumari" refreshedDate="46140.994710648149" createdVersion="5" refreshedVersion="8" minRefreshableVersion="3" recordCount="0" supportSubquery="1" supportAdvancedDrill="1" xr:uid="{0D5807CF-1DC5-4A57-A971-F8F62AE39C02}">
  <cacheSource type="external" connectionId="3"/>
  <cacheFields count="4">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yal Kumari" refreshedDate="46140.994711111111" createdVersion="5" refreshedVersion="8" minRefreshableVersion="3" recordCount="0" supportSubquery="1" supportAdvancedDrill="1" xr:uid="{C0D434EC-0C6D-4C61-BD2A-7CFE7858FD36}">
  <cacheSource type="external" connectionId="3"/>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yal Kumari" refreshedDate="46140.994711689818" createdVersion="5" refreshedVersion="8" minRefreshableVersion="3" recordCount="0" supportSubquery="1" supportAdvancedDrill="1" xr:uid="{46C28090-2614-44B8-B420-940CB57851D2}">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50-59"/>
        <s v="60-69"/>
        <s v="70-79"/>
        <s v="740-49"/>
      </sharedItems>
    </cacheField>
    <cacheField name="[Measures].[Count of Age Group]" caption="Count of Age Group" numFmtId="0" hierarchy="31"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yal Kumari" refreshedDate="46140.994712268519" createdVersion="5" refreshedVersion="8" minRefreshableVersion="3" recordCount="0" supportSubquery="1" supportAdvancedDrill="1" xr:uid="{C1F9CC8E-6DDE-400D-969B-0698271C1BB8}">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Waittime]" caption="Count of Patient Waittime" numFmtId="0" hierarchy="32"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yal Kumari" refreshedDate="46140.994712731481" createdVersion="5" refreshedVersion="8" minRefreshableVersion="3" recordCount="0" supportSubquery="1" supportAdvancedDrill="1" xr:uid="{D649DAB4-87DC-433F-AFF8-064570749F84}">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yal Kumari" refreshedDate="46140.994713310189" createdVersion="5" refreshedVersion="8" minRefreshableVersion="3" recordCount="0" supportSubquery="1" supportAdvancedDrill="1" xr:uid="{EC1AFAA0-454D-4071-822F-60B70C659B17}">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yal Kumari" refreshedDate="46140.994713888889" createdVersion="5" refreshedVersion="8" minRefreshableVersion="3" recordCount="0" supportSubquery="1" supportAdvancedDrill="1" xr:uid="{957395BD-092B-42D5-94D2-F521B5185A1F}">
  <cacheSource type="external" connectionId="3"/>
  <cacheFields count="4">
    <cacheField name="[calender_table].[Date (Month)].[Date (Month)]" caption="Date (Month)" numFmtId="0" hierarchy="1" level="1">
      <sharedItems count="1">
        <s v="Jan"/>
      </sharedItems>
    </cacheField>
    <cacheField name="[calender_table].[Date].[Date]" caption="Date" numFmtId="0" level="1">
      <sharedItems containsSemiMixedTypes="0" containsNonDate="0" containsDate="1" containsString="0" minDate="2024-01-01T00:00:00" maxDate="2024-02-01T00:00:00" count="31">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er_table].[Date (Quarter)].[Date (Quarter)]" caption="Date (Quarter)" numFmtId="0" hierarchy="4" level="1">
      <sharedItems count="1">
        <s v="Qtr1"/>
      </sharedItems>
    </cacheField>
    <cacheField name="[calender_table].[Date (Year)].[Date (Year)]" caption="Date (Year)" numFmtId="0" hierarchy="3" level="1">
      <sharedItems count="1">
        <s v="2024"/>
      </sharedItems>
    </cacheField>
  </cacheFields>
  <cacheHierarchies count="35">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yal Kumari" refreshedDate="46140.986568981483" createdVersion="3" refreshedVersion="8" minRefreshableVersion="3" recordCount="0" supportSubquery="1" supportAdvancedDrill="1" xr:uid="{EBEFD073-3D15-48E8-87A0-F17BCE68B506}">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76499616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5F30DC-2B68-4BF1-935F-C86460F91E98}" name="PivotTable6" cacheId="5" applyNumberFormats="0" applyBorderFormats="0" applyFontFormats="0" applyPatternFormats="0" applyAlignmentFormats="0" applyWidthHeightFormats="1" dataCaption="Values" tag="c4efb44d-9675-402c-96e4-9ede12c3b285" updatedVersion="8" minRefreshableVersion="3" subtotalHiddenItems="1" itemPrintTitles="1" createdVersion="5" indent="0" outline="1" outlineData="1" multipleFieldFilters="0" chartFormat="14">
  <location ref="K5:L37"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numFmtId="1"/>
  </dataFields>
  <formats count="1">
    <format dxfId="0">
      <pivotArea outline="0" collapsedLevelsAreSubtotals="1" fieldPosition="0"/>
    </format>
  </formats>
  <chartFormats count="1">
    <chartFormat chart="11"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86A968-FD9A-4334-AD0E-11D2B354AB02}" name="PivotTable10" cacheId="9" applyNumberFormats="0" applyBorderFormats="0" applyFontFormats="0" applyPatternFormats="0" applyAlignmentFormats="0" applyWidthHeightFormats="1" dataCaption="Values" tag="e71dfb30-2ed6-4c93-8f24-70d13012ac8d" updatedVersion="8" minRefreshableVersion="3" subtotalHiddenItems="1" itemPrintTitles="1" createdVersion="5" indent="0" outline="1" outlineData="1" multipleFieldFilters="0" chartFormat="19">
  <location ref="B43:C4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1">
      <pivotArea outline="0" collapsedLevelsAreSubtotals="1" fieldPosition="0"/>
    </format>
  </formats>
  <chartFormats count="3">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1" count="1" selected="0">
            <x v="0"/>
          </reference>
        </references>
      </pivotArea>
    </chartFormat>
    <chartFormat chart="17"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CF3F46-D6C0-4846-B87B-385818051892}" name="PivotTable7" cacheId="6" applyNumberFormats="0" applyBorderFormats="0" applyFontFormats="0" applyPatternFormats="0" applyAlignmentFormats="0" applyWidthHeightFormats="1" dataCaption="Values" tag="e71dfb30-2ed6-4c93-8f24-70d13012ac8d" updatedVersion="8" minRefreshableVersion="3" subtotalHiddenItems="1" itemPrintTitles="1" createdVersion="5" indent="0" outline="1" outlineData="1" multipleFieldFilters="0" chartFormat="2">
  <location ref="A14:C17"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4">
    <format dxfId="5">
      <pivotArea outline="0" collapsedLevelsAreSubtotals="1" fieldPosition="0"/>
    </format>
    <format dxfId="4">
      <pivotArea collapsedLevelsAreSubtotals="1" fieldPosition="0">
        <references count="1">
          <reference field="2" count="0"/>
        </references>
      </pivotArea>
    </format>
    <format dxfId="3">
      <pivotArea outline="0" fieldPosition="0">
        <references count="1">
          <reference field="4294967294" count="1">
            <x v="1"/>
          </reference>
        </references>
      </pivotArea>
    </format>
    <format dxfId="2">
      <pivotArea collapsedLevelsAreSubtotals="1" fieldPosition="0">
        <references count="2">
          <reference field="4294967294" count="1" selected="0">
            <x v="1"/>
          </reference>
          <reference field="2" count="0"/>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B652F5-E7E0-4C7E-BD0F-101A2B8A57A2}" name="PivotTable5" cacheId="4" applyNumberFormats="0" applyBorderFormats="0" applyFontFormats="0" applyPatternFormats="0" applyAlignmentFormats="0" applyWidthHeightFormats="1" dataCaption="Values" tag="c4efb44d-9675-402c-96e4-9ede12c3b285" updatedVersion="8" minRefreshableVersion="3" subtotalHiddenItems="1" itemPrintTitles="1" createdVersion="5" indent="0" outline="1" outlineData="1" multipleFieldFilters="0" chartFormat="17">
  <location ref="G4:H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6">
      <pivotArea outline="0" collapsedLevelsAreSubtotals="1" fieldPosition="0"/>
    </format>
  </formats>
  <chartFormats count="3">
    <chartFormat chart="8"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FCAFAF-A7B1-468F-ACC1-143883833E16}" name="PivotTable12" cacheId="11" applyNumberFormats="0" applyBorderFormats="0" applyFontFormats="0" applyPatternFormats="0" applyAlignmentFormats="0" applyWidthHeightFormats="1" dataCaption="Values" tag="e71dfb30-2ed6-4c93-8f24-70d13012ac8d" updatedVersion="8" minRefreshableVersion="3" subtotalHiddenItems="1" itemPrintTitles="1" createdVersion="5" indent="0" outline="1" outlineData="1" multipleFieldFilters="0" chartFormat="23">
  <location ref="E55:E90" firstHeaderRow="1" firstDataRow="1" firstDataCol="1"/>
  <pivotFields count="4">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1">
        <item s="1" x="0"/>
      </items>
    </pivotField>
  </pivotFields>
  <rowFields count="4">
    <field x="3"/>
    <field x="2"/>
    <field x="0"/>
    <field x="1"/>
  </rowFields>
  <rowItems count="35">
    <i>
      <x/>
    </i>
    <i r="1">
      <x/>
    </i>
    <i r="2">
      <x/>
    </i>
    <i r="3">
      <x/>
    </i>
    <i r="3">
      <x v="1"/>
    </i>
    <i r="3">
      <x v="2"/>
    </i>
    <i r="3">
      <x v="3"/>
    </i>
    <i r="3">
      <x v="4"/>
    </i>
    <i r="3">
      <x v="5"/>
    </i>
    <i r="3">
      <x v="6"/>
    </i>
    <i r="3">
      <x v="7"/>
    </i>
    <i r="3">
      <x v="8"/>
    </i>
    <i r="3">
      <x v="9"/>
    </i>
    <i r="3">
      <x v="10"/>
    </i>
    <i r="3">
      <x v="11"/>
    </i>
    <i r="3">
      <x v="12"/>
    </i>
    <i r="3">
      <x v="13"/>
    </i>
    <i r="3">
      <x v="14"/>
    </i>
    <i r="3">
      <x v="15"/>
    </i>
    <i r="3">
      <x v="16"/>
    </i>
    <i r="3">
      <x v="17"/>
    </i>
    <i r="3">
      <x v="18"/>
    </i>
    <i r="3">
      <x v="19"/>
    </i>
    <i r="3">
      <x v="20"/>
    </i>
    <i r="3">
      <x v="21"/>
    </i>
    <i r="3">
      <x v="22"/>
    </i>
    <i r="3">
      <x v="23"/>
    </i>
    <i r="3">
      <x v="24"/>
    </i>
    <i r="3">
      <x v="25"/>
    </i>
    <i r="3">
      <x v="26"/>
    </i>
    <i r="3">
      <x v="27"/>
    </i>
    <i r="3">
      <x v="28"/>
    </i>
    <i r="3">
      <x v="29"/>
    </i>
    <i r="3">
      <x v="30"/>
    </i>
    <i t="grand">
      <x/>
    </i>
  </rowItems>
  <formats count="1">
    <format dxfId="7">
      <pivotArea outline="0" collapsedLevelsAreSubtotals="1" fieldPosition="0"/>
    </format>
  </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872535-2ED2-4441-86B9-742BEE6599C8}" name="PivotTable3" cacheId="3" applyNumberFormats="0" applyBorderFormats="0" applyFontFormats="0" applyPatternFormats="0" applyAlignmentFormats="0" applyWidthHeightFormats="1" dataCaption="Values" tag="e71dfb30-2ed6-4c93-8f24-70d13012ac8d" updatedVersion="8" minRefreshableVersion="3"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8">
      <pivotArea outline="0" collapsedLevelsAreSubtotals="1" fieldPosition="0"/>
    </format>
  </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927264-703F-4433-A8F3-948860C5B87D}" name="PivotTable11" cacheId="10" applyNumberFormats="0" applyBorderFormats="0" applyFontFormats="0" applyPatternFormats="0" applyAlignmentFormats="0" applyWidthHeightFormats="1" dataCaption="Values" tag="e71dfb30-2ed6-4c93-8f24-70d13012ac8d" updatedVersion="8" minRefreshableVersion="3" subtotalHiddenItems="1" itemPrintTitles="1" createdVersion="5" indent="0" outline="1" outlineData="1" multipleFieldFilters="0" chartFormat="23">
  <location ref="B48:C57"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1">
    <format dxfId="9">
      <pivotArea outline="0" collapsedLevelsAreSubtotals="1" fieldPosition="0"/>
    </format>
  </formats>
  <chartFormats count="1">
    <chartFormat chart="21"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0449678-B2F5-4FBA-8E82-F452C9006B93}" name="PivotTable2" cacheId="2" applyNumberFormats="0" applyBorderFormats="0" applyFontFormats="0" applyPatternFormats="0" applyAlignmentFormats="0" applyWidthHeightFormats="1" dataCaption="Values" tag="5c712292-f12a-41b6-a4b6-1185bbae1075" updatedVersion="8" minRefreshableVersion="3" subtotalHiddenItems="1" itemPrintTitles="1" createdVersion="5"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0">
      <pivotArea outline="0" collapsedLevelsAreSubtotals="1" fieldPosition="0"/>
    </format>
  </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B23E29A-337E-4392-8BAF-195EADE76D2E}" name="PivotTable8" cacheId="7" applyNumberFormats="0" applyBorderFormats="0" applyFontFormats="0" applyPatternFormats="0" applyAlignmentFormats="0" applyWidthHeightFormats="1" dataCaption="Values" tag="e71dfb30-2ed6-4c93-8f24-70d13012ac8d" updatedVersion="8" minRefreshableVersion="3" subtotalHiddenItems="1" itemPrintTitles="1" createdVersion="5" indent="0" outline="1" outlineData="1" multipleFieldFilters="0" chartFormat="15">
  <location ref="E43:F52" firstHeaderRow="1" firstDataRow="1" firstDataCol="1"/>
  <pivotFields count="4">
    <pivotField allDrilled="1" subtotalTop="0" showAll="0" dataSourceSort="1" defaultSubtotal="0" defaultAttributeDrillState="1"/>
    <pivotField axis="axisRow" allDrilled="1" subtotalTop="0" showAll="0"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1">
    <format dxfId="11">
      <pivotArea outline="0" collapsedLevelsAreSubtotals="1" fieldPosition="0"/>
    </format>
  </formats>
  <chartFormats count="1">
    <chartFormat chart="14"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A739EB0-12EF-4D20-B985-81E5B8372F1B}" name="PivotTable9" cacheId="8" applyNumberFormats="0" applyBorderFormats="0" applyFontFormats="0" applyPatternFormats="0" applyAlignmentFormats="0" applyWidthHeightFormats="1" dataCaption="Values" tag="e71dfb30-2ed6-4c93-8f24-70d13012ac8d" updatedVersion="8" minRefreshableVersion="3" subtotalHiddenItems="1" itemPrintTitles="1" createdVersion="5" indent="0" outline="1" outlineData="1" multipleFieldFilters="0" chartFormat="24">
  <location ref="H43:I4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Waittime" fld="2" subtotal="count" baseField="1" baseItem="0"/>
  </dataFields>
  <formats count="1">
    <format dxfId="12">
      <pivotArea outline="0" collapsedLevelsAreSubtotals="1" fieldPosition="0"/>
    </format>
  </formats>
  <chartFormats count="3">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1" count="1" selected="0">
            <x v="0"/>
          </reference>
        </references>
      </pivotArea>
    </chartFormat>
    <chartFormat chart="23" format="8">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Waittime"/>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FF32C58-AC41-4D0C-9648-6E8845EC2A4A}" name="PivotTable4" cacheId="0" applyNumberFormats="0" applyBorderFormats="0" applyFontFormats="0" applyPatternFormats="0" applyAlignmentFormats="0" applyWidthHeightFormats="1" dataCaption="Values" tag="c4efb44d-9675-402c-96e4-9ede12c3b285" updatedVersion="8" minRefreshableVersion="3" subtotalHiddenItems="1" itemPrintTitles="1" createdVersion="5" indent="0" outline="1" outlineData="1" multipleFieldFilters="0" chartFormat="7">
  <location ref="D3:E35"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BAE6868-715B-4BB8-B46F-9BC9AEA0D5B4}" name="PivotTable1" cacheId="1" applyNumberFormats="0" applyBorderFormats="0" applyFontFormats="0" applyPatternFormats="0" applyAlignmentFormats="0" applyWidthHeightFormats="1" dataCaption="Values" tag="c4efb44d-9675-402c-96e4-9ede12c3b285" updatedVersion="8" minRefreshableVersion="3" subtotalHiddenItems="1" itemPrintTitles="1" createdVersion="5"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E8605CB0-7121-44A7-918C-B4C18DB6F823}"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764996162">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FC605A5D-F7F9-4F8D-B7F0-ED2B335E6672}" sourceName="[cale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764996162">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39420030-3AD6-4466-8C16-283E73ADCE52}" cache="Slicer_Date__Month" caption="Date (Month)" showCaption="0" level="1" style="my style" rowHeight="252000"/>
  <slicer name="Date (Year)" xr10:uid="{82DCA026-D85E-49F2-A89B-549DD01DFC78}" cache="Slicer_Date__Year" caption="Date (Year)" columnCount="2" showCaption="0" level="1" style="my styl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5F78A-154A-487D-B474-E50B3AF147BE}">
  <dimension ref="A2:L90"/>
  <sheetViews>
    <sheetView topLeftCell="A70" workbookViewId="0">
      <selection activeCell="G86" sqref="G86"/>
    </sheetView>
  </sheetViews>
  <sheetFormatPr defaultRowHeight="14.4" x14ac:dyDescent="0.3"/>
  <cols>
    <col min="1" max="1" width="16.5546875" customWidth="1"/>
    <col min="2" max="2" width="15.21875" customWidth="1"/>
    <col min="3" max="3" width="9.5546875" customWidth="1"/>
    <col min="4" max="4" width="18.77734375" customWidth="1"/>
    <col min="5" max="5" width="23.88671875" bestFit="1" customWidth="1"/>
    <col min="7" max="7" width="12.5546875" bestFit="1" customWidth="1"/>
    <col min="8" max="8" width="23.88671875" bestFit="1" customWidth="1"/>
    <col min="11" max="11" width="12.5546875" bestFit="1" customWidth="1"/>
    <col min="12" max="12" width="25" bestFit="1" customWidth="1"/>
  </cols>
  <sheetData>
    <row r="2" spans="1:12" x14ac:dyDescent="0.3">
      <c r="A2" t="s">
        <v>1</v>
      </c>
    </row>
    <row r="3" spans="1:12" x14ac:dyDescent="0.3">
      <c r="A3" t="s">
        <v>0</v>
      </c>
      <c r="D3" s="3" t="s">
        <v>4</v>
      </c>
      <c r="E3" t="s">
        <v>0</v>
      </c>
    </row>
    <row r="4" spans="1:12" x14ac:dyDescent="0.3">
      <c r="A4">
        <v>513</v>
      </c>
      <c r="D4" s="4" t="s">
        <v>6</v>
      </c>
      <c r="E4">
        <v>19</v>
      </c>
      <c r="G4" s="3" t="s">
        <v>4</v>
      </c>
      <c r="H4" t="s">
        <v>2</v>
      </c>
    </row>
    <row r="5" spans="1:12" x14ac:dyDescent="0.3">
      <c r="D5" s="4" t="s">
        <v>7</v>
      </c>
      <c r="E5">
        <v>14</v>
      </c>
      <c r="G5" s="4" t="s">
        <v>6</v>
      </c>
      <c r="H5" s="1">
        <v>37.789473684210527</v>
      </c>
      <c r="K5" s="3" t="s">
        <v>4</v>
      </c>
      <c r="L5" t="s">
        <v>3</v>
      </c>
    </row>
    <row r="6" spans="1:12" x14ac:dyDescent="0.3">
      <c r="D6" s="4" t="s">
        <v>8</v>
      </c>
      <c r="E6">
        <v>13</v>
      </c>
      <c r="G6" s="4" t="s">
        <v>7</v>
      </c>
      <c r="H6" s="1">
        <v>38.214285714285715</v>
      </c>
      <c r="K6" s="4" t="s">
        <v>6</v>
      </c>
      <c r="L6" s="5">
        <v>6.666666666666667</v>
      </c>
    </row>
    <row r="7" spans="1:12" x14ac:dyDescent="0.3">
      <c r="A7" t="s">
        <v>2</v>
      </c>
      <c r="D7" s="4" t="s">
        <v>9</v>
      </c>
      <c r="E7">
        <v>22</v>
      </c>
      <c r="G7" s="4" t="s">
        <v>8</v>
      </c>
      <c r="H7" s="1">
        <v>40.92307692307692</v>
      </c>
      <c r="K7" s="4" t="s">
        <v>7</v>
      </c>
      <c r="L7" s="5">
        <v>3.5</v>
      </c>
    </row>
    <row r="8" spans="1:12" x14ac:dyDescent="0.3">
      <c r="A8" s="1">
        <v>36.323586744639378</v>
      </c>
      <c r="D8" s="4" t="s">
        <v>10</v>
      </c>
      <c r="E8">
        <v>19</v>
      </c>
      <c r="G8" s="4" t="s">
        <v>9</v>
      </c>
      <c r="H8" s="1">
        <v>34.5</v>
      </c>
      <c r="K8" s="4" t="s">
        <v>8</v>
      </c>
      <c r="L8" s="5">
        <v>4.5</v>
      </c>
    </row>
    <row r="9" spans="1:12" x14ac:dyDescent="0.3">
      <c r="D9" s="4" t="s">
        <v>11</v>
      </c>
      <c r="E9">
        <v>15</v>
      </c>
      <c r="G9" s="4" t="s">
        <v>10</v>
      </c>
      <c r="H9" s="1">
        <v>30.684210526315791</v>
      </c>
      <c r="K9" s="4" t="s">
        <v>9</v>
      </c>
      <c r="L9" s="5">
        <v>4.8</v>
      </c>
    </row>
    <row r="10" spans="1:12" x14ac:dyDescent="0.3">
      <c r="D10" s="4" t="s">
        <v>12</v>
      </c>
      <c r="E10">
        <v>12</v>
      </c>
      <c r="G10" s="4" t="s">
        <v>11</v>
      </c>
      <c r="H10" s="1">
        <v>37.666666666666664</v>
      </c>
      <c r="K10" s="4" t="s">
        <v>10</v>
      </c>
      <c r="L10" s="5">
        <v>7.75</v>
      </c>
    </row>
    <row r="11" spans="1:12" x14ac:dyDescent="0.3">
      <c r="A11" t="s">
        <v>3</v>
      </c>
      <c r="D11" s="4" t="s">
        <v>13</v>
      </c>
      <c r="E11">
        <v>21</v>
      </c>
      <c r="G11" s="4" t="s">
        <v>12</v>
      </c>
      <c r="H11" s="1">
        <v>36.083333333333336</v>
      </c>
      <c r="K11" s="4" t="s">
        <v>11</v>
      </c>
      <c r="L11" s="5">
        <v>6.2</v>
      </c>
    </row>
    <row r="12" spans="1:12" x14ac:dyDescent="0.3">
      <c r="A12" s="1">
        <v>4.9591836734693882</v>
      </c>
      <c r="D12" s="4" t="s">
        <v>14</v>
      </c>
      <c r="E12">
        <v>12</v>
      </c>
      <c r="G12" s="4" t="s">
        <v>13</v>
      </c>
      <c r="H12" s="1">
        <v>43.523809523809526</v>
      </c>
      <c r="K12" s="4" t="s">
        <v>12</v>
      </c>
      <c r="L12" s="5">
        <v>3.75</v>
      </c>
    </row>
    <row r="13" spans="1:12" x14ac:dyDescent="0.3">
      <c r="D13" s="4" t="s">
        <v>15</v>
      </c>
      <c r="E13">
        <v>13</v>
      </c>
      <c r="G13" s="4" t="s">
        <v>14</v>
      </c>
      <c r="H13" s="1">
        <v>29.5</v>
      </c>
      <c r="K13" s="4" t="s">
        <v>13</v>
      </c>
      <c r="L13" s="5">
        <v>6.5</v>
      </c>
    </row>
    <row r="14" spans="1:12" x14ac:dyDescent="0.3">
      <c r="A14" s="3" t="s">
        <v>4</v>
      </c>
      <c r="B14" t="s">
        <v>37</v>
      </c>
      <c r="C14" t="s">
        <v>40</v>
      </c>
      <c r="D14" s="4" t="s">
        <v>16</v>
      </c>
      <c r="E14">
        <v>13</v>
      </c>
      <c r="G14" s="4" t="s">
        <v>15</v>
      </c>
      <c r="H14" s="1">
        <v>38.07692307692308</v>
      </c>
      <c r="K14" s="4" t="s">
        <v>14</v>
      </c>
      <c r="L14" s="5">
        <v>3</v>
      </c>
    </row>
    <row r="15" spans="1:12" x14ac:dyDescent="0.3">
      <c r="A15" s="4" t="s">
        <v>38</v>
      </c>
      <c r="B15" s="5">
        <v>269</v>
      </c>
      <c r="C15" s="9">
        <v>0.52436647173489281</v>
      </c>
      <c r="D15" s="4" t="s">
        <v>17</v>
      </c>
      <c r="E15">
        <v>16</v>
      </c>
      <c r="G15" s="4" t="s">
        <v>16</v>
      </c>
      <c r="H15" s="1">
        <v>35.846153846153847</v>
      </c>
      <c r="K15" s="4" t="s">
        <v>15</v>
      </c>
      <c r="L15" s="5">
        <v>4.5</v>
      </c>
    </row>
    <row r="16" spans="1:12" x14ac:dyDescent="0.3">
      <c r="A16" s="4" t="s">
        <v>39</v>
      </c>
      <c r="B16" s="5">
        <v>244</v>
      </c>
      <c r="C16" s="9">
        <v>0.47563352826510719</v>
      </c>
      <c r="D16" s="4" t="s">
        <v>18</v>
      </c>
      <c r="E16">
        <v>20</v>
      </c>
      <c r="G16" s="4" t="s">
        <v>17</v>
      </c>
      <c r="H16" s="1">
        <v>32.625</v>
      </c>
      <c r="K16" s="4" t="s">
        <v>16</v>
      </c>
      <c r="L16" s="5">
        <v>6</v>
      </c>
    </row>
    <row r="17" spans="1:12" x14ac:dyDescent="0.3">
      <c r="A17" s="4" t="s">
        <v>5</v>
      </c>
      <c r="B17" s="1">
        <v>513</v>
      </c>
      <c r="C17" s="6">
        <v>1</v>
      </c>
      <c r="D17" s="4" t="s">
        <v>19</v>
      </c>
      <c r="E17">
        <v>25</v>
      </c>
      <c r="G17" s="4" t="s">
        <v>18</v>
      </c>
      <c r="H17" s="1">
        <v>39.200000000000003</v>
      </c>
      <c r="K17" s="4" t="s">
        <v>17</v>
      </c>
      <c r="L17" s="5">
        <v>5.2</v>
      </c>
    </row>
    <row r="18" spans="1:12" x14ac:dyDescent="0.3">
      <c r="D18" s="4" t="s">
        <v>20</v>
      </c>
      <c r="E18">
        <v>20</v>
      </c>
      <c r="G18" s="4" t="s">
        <v>19</v>
      </c>
      <c r="H18" s="1">
        <v>35.28</v>
      </c>
      <c r="K18" s="4" t="s">
        <v>18</v>
      </c>
      <c r="L18" s="5">
        <v>4.4000000000000004</v>
      </c>
    </row>
    <row r="19" spans="1:12" x14ac:dyDescent="0.3">
      <c r="D19" s="4" t="s">
        <v>21</v>
      </c>
      <c r="E19">
        <v>14</v>
      </c>
      <c r="G19" s="4" t="s">
        <v>20</v>
      </c>
      <c r="H19" s="1">
        <v>32.549999999999997</v>
      </c>
      <c r="K19" s="4" t="s">
        <v>19</v>
      </c>
      <c r="L19" s="5">
        <v>3.4545454545454546</v>
      </c>
    </row>
    <row r="20" spans="1:12" x14ac:dyDescent="0.3">
      <c r="D20" s="4" t="s">
        <v>22</v>
      </c>
      <c r="E20">
        <v>17</v>
      </c>
      <c r="G20" s="4" t="s">
        <v>21</v>
      </c>
      <c r="H20" s="1">
        <v>35.642857142857146</v>
      </c>
      <c r="K20" s="4" t="s">
        <v>20</v>
      </c>
      <c r="L20" s="5">
        <v>4.4000000000000004</v>
      </c>
    </row>
    <row r="21" spans="1:12" x14ac:dyDescent="0.3">
      <c r="D21" s="4" t="s">
        <v>23</v>
      </c>
      <c r="E21">
        <v>20</v>
      </c>
      <c r="G21" s="4" t="s">
        <v>22</v>
      </c>
      <c r="H21" s="1">
        <v>38.764705882352942</v>
      </c>
      <c r="K21" s="4" t="s">
        <v>21</v>
      </c>
      <c r="L21" s="5">
        <v>5.833333333333333</v>
      </c>
    </row>
    <row r="22" spans="1:12" x14ac:dyDescent="0.3">
      <c r="D22" s="4" t="s">
        <v>24</v>
      </c>
      <c r="E22">
        <v>10</v>
      </c>
      <c r="G22" s="4" t="s">
        <v>23</v>
      </c>
      <c r="H22" s="1">
        <v>39.9</v>
      </c>
      <c r="K22" s="4" t="s">
        <v>22</v>
      </c>
      <c r="L22" s="5">
        <v>4.4444444444444446</v>
      </c>
    </row>
    <row r="23" spans="1:12" x14ac:dyDescent="0.3">
      <c r="D23" s="4" t="s">
        <v>25</v>
      </c>
      <c r="E23">
        <v>17</v>
      </c>
      <c r="G23" s="4" t="s">
        <v>24</v>
      </c>
      <c r="H23" s="1">
        <v>41.6</v>
      </c>
      <c r="K23" s="4" t="s">
        <v>23</v>
      </c>
      <c r="L23" s="5">
        <v>5.333333333333333</v>
      </c>
    </row>
    <row r="24" spans="1:12" x14ac:dyDescent="0.3">
      <c r="D24" s="4" t="s">
        <v>26</v>
      </c>
      <c r="E24">
        <v>15</v>
      </c>
      <c r="G24" s="4" t="s">
        <v>25</v>
      </c>
      <c r="H24" s="1">
        <v>39.470588235294116</v>
      </c>
      <c r="K24" s="4" t="s">
        <v>24</v>
      </c>
      <c r="L24" s="5">
        <v>5.333333333333333</v>
      </c>
    </row>
    <row r="25" spans="1:12" x14ac:dyDescent="0.3">
      <c r="D25" s="4" t="s">
        <v>27</v>
      </c>
      <c r="E25">
        <v>16</v>
      </c>
      <c r="G25" s="4" t="s">
        <v>26</v>
      </c>
      <c r="H25" s="1">
        <v>27.733333333333334</v>
      </c>
      <c r="K25" s="4" t="s">
        <v>25</v>
      </c>
      <c r="L25" s="5">
        <v>5.5714285714285712</v>
      </c>
    </row>
    <row r="26" spans="1:12" x14ac:dyDescent="0.3">
      <c r="D26" s="4" t="s">
        <v>28</v>
      </c>
      <c r="E26">
        <v>18</v>
      </c>
      <c r="G26" s="4" t="s">
        <v>27</v>
      </c>
      <c r="H26" s="1">
        <v>36.875</v>
      </c>
      <c r="K26" s="4" t="s">
        <v>26</v>
      </c>
      <c r="L26" s="5">
        <v>5</v>
      </c>
    </row>
    <row r="27" spans="1:12" x14ac:dyDescent="0.3">
      <c r="D27" s="4" t="s">
        <v>29</v>
      </c>
      <c r="E27">
        <v>16</v>
      </c>
      <c r="G27" s="4" t="s">
        <v>28</v>
      </c>
      <c r="H27" s="1">
        <v>40.333333333333336</v>
      </c>
      <c r="K27" s="4" t="s">
        <v>27</v>
      </c>
      <c r="L27" s="5">
        <v>6.4</v>
      </c>
    </row>
    <row r="28" spans="1:12" x14ac:dyDescent="0.3">
      <c r="D28" s="4" t="s">
        <v>30</v>
      </c>
      <c r="E28">
        <v>15</v>
      </c>
      <c r="G28" s="4" t="s">
        <v>29</v>
      </c>
      <c r="H28" s="1">
        <v>36.5</v>
      </c>
      <c r="K28" s="4" t="s">
        <v>28</v>
      </c>
      <c r="L28" s="5">
        <v>5.333333333333333</v>
      </c>
    </row>
    <row r="29" spans="1:12" x14ac:dyDescent="0.3">
      <c r="D29" s="4" t="s">
        <v>31</v>
      </c>
      <c r="E29">
        <v>14</v>
      </c>
      <c r="G29" s="4" t="s">
        <v>30</v>
      </c>
      <c r="H29" s="1">
        <v>32.866666666666667</v>
      </c>
      <c r="K29" s="4" t="s">
        <v>29</v>
      </c>
      <c r="L29" s="5">
        <v>3.75</v>
      </c>
    </row>
    <row r="30" spans="1:12" x14ac:dyDescent="0.3">
      <c r="D30" s="4" t="s">
        <v>32</v>
      </c>
      <c r="E30">
        <v>16</v>
      </c>
      <c r="G30" s="4" t="s">
        <v>31</v>
      </c>
      <c r="H30" s="1">
        <v>36.642857142857146</v>
      </c>
      <c r="K30" s="4" t="s">
        <v>30</v>
      </c>
      <c r="L30" s="5">
        <v>6.333333333333333</v>
      </c>
    </row>
    <row r="31" spans="1:12" x14ac:dyDescent="0.3">
      <c r="D31" s="4" t="s">
        <v>33</v>
      </c>
      <c r="E31">
        <v>20</v>
      </c>
      <c r="G31" s="4" t="s">
        <v>32</v>
      </c>
      <c r="H31" s="1">
        <v>36.5625</v>
      </c>
      <c r="K31" s="4" t="s">
        <v>31</v>
      </c>
      <c r="L31" s="5">
        <v>10</v>
      </c>
    </row>
    <row r="32" spans="1:12" x14ac:dyDescent="0.3">
      <c r="D32" s="4" t="s">
        <v>34</v>
      </c>
      <c r="E32">
        <v>19</v>
      </c>
      <c r="G32" s="4" t="s">
        <v>33</v>
      </c>
      <c r="H32" s="1">
        <v>32.15</v>
      </c>
      <c r="K32" s="4" t="s">
        <v>32</v>
      </c>
      <c r="L32" s="5">
        <v>5</v>
      </c>
    </row>
    <row r="33" spans="1:12" x14ac:dyDescent="0.3">
      <c r="D33" s="4" t="s">
        <v>35</v>
      </c>
      <c r="E33">
        <v>14</v>
      </c>
      <c r="G33" s="4" t="s">
        <v>34</v>
      </c>
      <c r="H33" s="1">
        <v>38.368421052631582</v>
      </c>
      <c r="K33" s="4" t="s">
        <v>33</v>
      </c>
      <c r="L33" s="5">
        <v>5.333333333333333</v>
      </c>
    </row>
    <row r="34" spans="1:12" x14ac:dyDescent="0.3">
      <c r="D34" s="4" t="s">
        <v>36</v>
      </c>
      <c r="E34">
        <v>18</v>
      </c>
      <c r="G34" s="4" t="s">
        <v>35</v>
      </c>
      <c r="H34" s="1">
        <v>33.071428571428569</v>
      </c>
      <c r="K34" s="4" t="s">
        <v>34</v>
      </c>
      <c r="L34" s="5">
        <v>4.8</v>
      </c>
    </row>
    <row r="35" spans="1:12" x14ac:dyDescent="0.3">
      <c r="D35" s="4" t="s">
        <v>5</v>
      </c>
      <c r="E35">
        <v>513</v>
      </c>
      <c r="G35" s="4" t="s">
        <v>36</v>
      </c>
      <c r="H35" s="1">
        <v>36.444444444444443</v>
      </c>
      <c r="K35" s="4" t="s">
        <v>35</v>
      </c>
      <c r="L35" s="5">
        <v>5</v>
      </c>
    </row>
    <row r="36" spans="1:12" x14ac:dyDescent="0.3">
      <c r="G36" s="4" t="s">
        <v>5</v>
      </c>
      <c r="H36" s="1">
        <v>36.323586744639378</v>
      </c>
      <c r="K36" s="4" t="s">
        <v>36</v>
      </c>
      <c r="L36" s="5">
        <v>1.4</v>
      </c>
    </row>
    <row r="37" spans="1:12" x14ac:dyDescent="0.3">
      <c r="K37" s="4" t="s">
        <v>5</v>
      </c>
      <c r="L37" s="5">
        <v>4.9591836734693882</v>
      </c>
    </row>
    <row r="38" spans="1:12" x14ac:dyDescent="0.3">
      <c r="A38" s="10" t="s">
        <v>41</v>
      </c>
      <c r="B38" s="10" t="s">
        <v>1</v>
      </c>
      <c r="C38" s="10" t="s">
        <v>42</v>
      </c>
      <c r="D38" s="7"/>
    </row>
    <row r="39" spans="1:12" x14ac:dyDescent="0.3">
      <c r="A39" s="11" t="str">
        <f>A16</f>
        <v>Not Admitted</v>
      </c>
      <c r="B39" s="11">
        <f>B16</f>
        <v>244</v>
      </c>
      <c r="C39" s="12">
        <f>C16</f>
        <v>0.47563352826510719</v>
      </c>
      <c r="D39" s="8"/>
    </row>
    <row r="40" spans="1:12" x14ac:dyDescent="0.3">
      <c r="A40" s="11" t="str">
        <f>A15</f>
        <v>Admitted</v>
      </c>
      <c r="B40" s="11">
        <f>B15</f>
        <v>269</v>
      </c>
      <c r="C40" s="12">
        <f>C15</f>
        <v>0.52436647173489281</v>
      </c>
      <c r="D40" s="8"/>
    </row>
    <row r="43" spans="1:12" x14ac:dyDescent="0.3">
      <c r="B43" s="3" t="s">
        <v>4</v>
      </c>
      <c r="C43" t="s">
        <v>57</v>
      </c>
      <c r="E43" s="3" t="s">
        <v>4</v>
      </c>
      <c r="F43" t="s">
        <v>51</v>
      </c>
      <c r="H43" s="3" t="s">
        <v>4</v>
      </c>
      <c r="I43" t="s">
        <v>54</v>
      </c>
    </row>
    <row r="44" spans="1:12" x14ac:dyDescent="0.3">
      <c r="B44" s="4" t="s">
        <v>55</v>
      </c>
      <c r="C44" s="5">
        <v>241</v>
      </c>
      <c r="E44" s="4" t="s">
        <v>43</v>
      </c>
      <c r="F44" s="5">
        <v>76</v>
      </c>
      <c r="H44" s="4" t="s">
        <v>53</v>
      </c>
      <c r="I44" s="5">
        <v>316</v>
      </c>
    </row>
    <row r="45" spans="1:12" x14ac:dyDescent="0.3">
      <c r="B45" s="4" t="s">
        <v>56</v>
      </c>
      <c r="C45" s="5">
        <v>272</v>
      </c>
      <c r="E45" s="4" t="s">
        <v>44</v>
      </c>
      <c r="F45" s="5">
        <v>69</v>
      </c>
      <c r="H45" s="4" t="s">
        <v>52</v>
      </c>
      <c r="I45" s="5">
        <v>197</v>
      </c>
    </row>
    <row r="46" spans="1:12" x14ac:dyDescent="0.3">
      <c r="B46" s="4" t="s">
        <v>5</v>
      </c>
      <c r="C46" s="5">
        <v>513</v>
      </c>
      <c r="E46" s="4" t="s">
        <v>45</v>
      </c>
      <c r="F46" s="5">
        <v>64</v>
      </c>
      <c r="H46" s="4" t="s">
        <v>5</v>
      </c>
      <c r="I46" s="5">
        <v>513</v>
      </c>
    </row>
    <row r="47" spans="1:12" x14ac:dyDescent="0.3">
      <c r="E47" s="4" t="s">
        <v>46</v>
      </c>
      <c r="F47" s="5">
        <v>59</v>
      </c>
    </row>
    <row r="48" spans="1:12" x14ac:dyDescent="0.3">
      <c r="B48" s="3" t="s">
        <v>4</v>
      </c>
      <c r="C48" t="s">
        <v>66</v>
      </c>
      <c r="E48" s="4" t="s">
        <v>47</v>
      </c>
      <c r="F48" s="5">
        <v>66</v>
      </c>
    </row>
    <row r="49" spans="2:6" x14ac:dyDescent="0.3">
      <c r="B49" s="4" t="s">
        <v>59</v>
      </c>
      <c r="C49" s="5">
        <v>4</v>
      </c>
      <c r="E49" s="4" t="s">
        <v>48</v>
      </c>
      <c r="F49" s="5">
        <v>67</v>
      </c>
    </row>
    <row r="50" spans="2:6" x14ac:dyDescent="0.3">
      <c r="B50" s="4" t="s">
        <v>65</v>
      </c>
      <c r="C50" s="5">
        <v>5</v>
      </c>
      <c r="E50" s="4" t="s">
        <v>49</v>
      </c>
      <c r="F50" s="5">
        <v>54</v>
      </c>
    </row>
    <row r="51" spans="2:6" x14ac:dyDescent="0.3">
      <c r="B51" s="4" t="s">
        <v>61</v>
      </c>
      <c r="C51" s="5">
        <v>9</v>
      </c>
      <c r="E51" s="4" t="s">
        <v>50</v>
      </c>
      <c r="F51" s="5">
        <v>58</v>
      </c>
    </row>
    <row r="52" spans="2:6" x14ac:dyDescent="0.3">
      <c r="B52" s="4" t="s">
        <v>64</v>
      </c>
      <c r="C52" s="5">
        <v>14</v>
      </c>
      <c r="E52" s="4" t="s">
        <v>5</v>
      </c>
      <c r="F52" s="5">
        <v>513</v>
      </c>
    </row>
    <row r="53" spans="2:6" x14ac:dyDescent="0.3">
      <c r="B53" s="4" t="s">
        <v>58</v>
      </c>
      <c r="C53" s="5">
        <v>14</v>
      </c>
    </row>
    <row r="54" spans="2:6" x14ac:dyDescent="0.3">
      <c r="B54" s="4" t="s">
        <v>63</v>
      </c>
      <c r="C54" s="5">
        <v>65</v>
      </c>
    </row>
    <row r="55" spans="2:6" x14ac:dyDescent="0.3">
      <c r="B55" s="4" t="s">
        <v>60</v>
      </c>
      <c r="C55" s="5">
        <v>103</v>
      </c>
      <c r="E55" s="3" t="s">
        <v>4</v>
      </c>
    </row>
    <row r="56" spans="2:6" x14ac:dyDescent="0.3">
      <c r="B56" s="4" t="s">
        <v>62</v>
      </c>
      <c r="C56" s="5">
        <v>299</v>
      </c>
      <c r="E56" s="4" t="s">
        <v>67</v>
      </c>
    </row>
    <row r="57" spans="2:6" x14ac:dyDescent="0.3">
      <c r="B57" s="4" t="s">
        <v>5</v>
      </c>
      <c r="C57" s="5">
        <v>513</v>
      </c>
      <c r="E57" s="13" t="s">
        <v>68</v>
      </c>
    </row>
    <row r="58" spans="2:6" x14ac:dyDescent="0.3">
      <c r="E58" s="14" t="s">
        <v>69</v>
      </c>
    </row>
    <row r="59" spans="2:6" x14ac:dyDescent="0.3">
      <c r="E59" s="15">
        <v>45292</v>
      </c>
    </row>
    <row r="60" spans="2:6" x14ac:dyDescent="0.3">
      <c r="E60" s="15">
        <v>45293</v>
      </c>
    </row>
    <row r="61" spans="2:6" x14ac:dyDescent="0.3">
      <c r="E61" s="15">
        <v>45294</v>
      </c>
    </row>
    <row r="62" spans="2:6" x14ac:dyDescent="0.3">
      <c r="E62" s="15">
        <v>45295</v>
      </c>
    </row>
    <row r="63" spans="2:6" x14ac:dyDescent="0.3">
      <c r="E63" s="15">
        <v>45296</v>
      </c>
    </row>
    <row r="64" spans="2:6" x14ac:dyDescent="0.3">
      <c r="E64" s="15">
        <v>45297</v>
      </c>
    </row>
    <row r="65" spans="5:5" x14ac:dyDescent="0.3">
      <c r="E65" s="15">
        <v>45298</v>
      </c>
    </row>
    <row r="66" spans="5:5" x14ac:dyDescent="0.3">
      <c r="E66" s="15">
        <v>45299</v>
      </c>
    </row>
    <row r="67" spans="5:5" x14ac:dyDescent="0.3">
      <c r="E67" s="15">
        <v>45300</v>
      </c>
    </row>
    <row r="68" spans="5:5" x14ac:dyDescent="0.3">
      <c r="E68" s="15">
        <v>45301</v>
      </c>
    </row>
    <row r="69" spans="5:5" x14ac:dyDescent="0.3">
      <c r="E69" s="15">
        <v>45302</v>
      </c>
    </row>
    <row r="70" spans="5:5" x14ac:dyDescent="0.3">
      <c r="E70" s="15">
        <v>45303</v>
      </c>
    </row>
    <row r="71" spans="5:5" x14ac:dyDescent="0.3">
      <c r="E71" s="15">
        <v>45304</v>
      </c>
    </row>
    <row r="72" spans="5:5" x14ac:dyDescent="0.3">
      <c r="E72" s="15">
        <v>45305</v>
      </c>
    </row>
    <row r="73" spans="5:5" x14ac:dyDescent="0.3">
      <c r="E73" s="15">
        <v>45306</v>
      </c>
    </row>
    <row r="74" spans="5:5" x14ac:dyDescent="0.3">
      <c r="E74" s="15">
        <v>45307</v>
      </c>
    </row>
    <row r="75" spans="5:5" x14ac:dyDescent="0.3">
      <c r="E75" s="15">
        <v>45308</v>
      </c>
    </row>
    <row r="76" spans="5:5" x14ac:dyDescent="0.3">
      <c r="E76" s="15">
        <v>45309</v>
      </c>
    </row>
    <row r="77" spans="5:5" x14ac:dyDescent="0.3">
      <c r="E77" s="15">
        <v>45310</v>
      </c>
    </row>
    <row r="78" spans="5:5" x14ac:dyDescent="0.3">
      <c r="E78" s="15">
        <v>45311</v>
      </c>
    </row>
    <row r="79" spans="5:5" x14ac:dyDescent="0.3">
      <c r="E79" s="15">
        <v>45312</v>
      </c>
    </row>
    <row r="80" spans="5:5" x14ac:dyDescent="0.3">
      <c r="E80" s="15">
        <v>45313</v>
      </c>
    </row>
    <row r="81" spans="5:5" x14ac:dyDescent="0.3">
      <c r="E81" s="15">
        <v>45314</v>
      </c>
    </row>
    <row r="82" spans="5:5" x14ac:dyDescent="0.3">
      <c r="E82" s="15">
        <v>45315</v>
      </c>
    </row>
    <row r="83" spans="5:5" x14ac:dyDescent="0.3">
      <c r="E83" s="15">
        <v>45316</v>
      </c>
    </row>
    <row r="84" spans="5:5" x14ac:dyDescent="0.3">
      <c r="E84" s="15">
        <v>45317</v>
      </c>
    </row>
    <row r="85" spans="5:5" x14ac:dyDescent="0.3">
      <c r="E85" s="15">
        <v>45318</v>
      </c>
    </row>
    <row r="86" spans="5:5" x14ac:dyDescent="0.3">
      <c r="E86" s="15">
        <v>45319</v>
      </c>
    </row>
    <row r="87" spans="5:5" x14ac:dyDescent="0.3">
      <c r="E87" s="15">
        <v>45320</v>
      </c>
    </row>
    <row r="88" spans="5:5" x14ac:dyDescent="0.3">
      <c r="E88" s="15">
        <v>45321</v>
      </c>
    </row>
    <row r="89" spans="5:5" x14ac:dyDescent="0.3">
      <c r="E89" s="15">
        <v>45322</v>
      </c>
    </row>
    <row r="90" spans="5:5" x14ac:dyDescent="0.3">
      <c r="E90" s="4" t="s">
        <v>5</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2C890-2D18-42C6-8885-844D488054EC}">
  <dimension ref="A1"/>
  <sheetViews>
    <sheetView workbookViewId="0"/>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95C75-AB58-446F-B9D4-E3C71391ABFA}">
  <dimension ref="A1"/>
  <sheetViews>
    <sheetView workbookViewId="0"/>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03B50-7E91-400F-A881-D1109022EC69}">
  <dimension ref="A1"/>
  <sheetViews>
    <sheetView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04CB4-9DC9-4E8D-BDB9-287EC4849056}">
  <dimension ref="A1:W27"/>
  <sheetViews>
    <sheetView tabSelected="1" workbookViewId="0">
      <selection activeCell="Q14" sqref="Q14"/>
    </sheetView>
  </sheetViews>
  <sheetFormatPr defaultRowHeight="14.4" x14ac:dyDescent="0.3"/>
  <cols>
    <col min="1" max="16" width="10.77734375" customWidth="1"/>
  </cols>
  <sheetData>
    <row r="1" spans="1:23" x14ac:dyDescent="0.3">
      <c r="A1" s="2"/>
      <c r="B1" s="2"/>
      <c r="C1" s="2"/>
      <c r="D1" s="2"/>
      <c r="E1" s="2"/>
      <c r="F1" s="2"/>
      <c r="G1" s="2"/>
      <c r="H1" s="2"/>
      <c r="I1" s="2"/>
      <c r="J1" s="2"/>
      <c r="K1" s="2"/>
      <c r="L1" s="2"/>
      <c r="M1" s="2"/>
      <c r="N1" s="2"/>
      <c r="O1" s="2"/>
      <c r="P1" s="2"/>
      <c r="Q1" s="2"/>
      <c r="R1" s="2"/>
      <c r="S1" s="2"/>
      <c r="T1" s="2"/>
      <c r="U1" s="2"/>
      <c r="V1" s="2"/>
      <c r="W1" s="2"/>
    </row>
    <row r="2" spans="1:23" x14ac:dyDescent="0.3">
      <c r="A2" s="2"/>
      <c r="B2" s="2"/>
      <c r="C2" s="2"/>
      <c r="D2" s="2"/>
      <c r="E2" s="2"/>
      <c r="F2" s="2"/>
      <c r="G2" s="2"/>
      <c r="H2" s="2"/>
      <c r="I2" s="2"/>
      <c r="J2" s="2"/>
      <c r="K2" s="2"/>
      <c r="L2" s="2"/>
      <c r="M2" s="2"/>
      <c r="N2" s="2"/>
      <c r="O2" s="2"/>
      <c r="P2" s="2"/>
      <c r="Q2" s="2"/>
      <c r="R2" s="2"/>
      <c r="S2" s="2"/>
      <c r="T2" s="2"/>
      <c r="U2" s="2"/>
      <c r="V2" s="2"/>
      <c r="W2" s="2"/>
    </row>
    <row r="3" spans="1:23" x14ac:dyDescent="0.3">
      <c r="A3" s="2"/>
      <c r="B3" s="2"/>
      <c r="C3" s="2"/>
      <c r="D3" s="2"/>
      <c r="E3" s="2"/>
      <c r="F3" s="2"/>
      <c r="G3" s="2"/>
      <c r="H3" s="2"/>
      <c r="I3" s="2"/>
      <c r="J3" s="2"/>
      <c r="K3" s="2"/>
      <c r="L3" s="2"/>
      <c r="M3" s="2"/>
      <c r="N3" s="2"/>
      <c r="O3" s="2"/>
      <c r="P3" s="2"/>
      <c r="Q3" s="2"/>
      <c r="R3" s="2"/>
      <c r="S3" s="2"/>
      <c r="T3" s="2"/>
      <c r="U3" s="2"/>
      <c r="V3" s="2"/>
      <c r="W3" s="2"/>
    </row>
    <row r="4" spans="1:23" x14ac:dyDescent="0.3">
      <c r="A4" s="2"/>
      <c r="B4" s="2"/>
      <c r="C4" s="2"/>
      <c r="D4" s="2"/>
      <c r="E4" s="2"/>
      <c r="F4" s="2"/>
      <c r="G4" s="2"/>
      <c r="H4" s="2"/>
      <c r="I4" s="2"/>
      <c r="J4" s="2"/>
      <c r="K4" s="2"/>
      <c r="L4" s="2"/>
      <c r="M4" s="2"/>
      <c r="N4" s="2"/>
      <c r="O4" s="2"/>
      <c r="P4" s="2"/>
      <c r="Q4" s="2"/>
      <c r="R4" s="2"/>
      <c r="S4" s="2"/>
      <c r="T4" s="2"/>
      <c r="U4" s="2"/>
      <c r="V4" s="2"/>
      <c r="W4" s="2"/>
    </row>
    <row r="5" spans="1:23" x14ac:dyDescent="0.3">
      <c r="A5" s="2"/>
      <c r="B5" s="2"/>
      <c r="C5" s="2"/>
      <c r="D5" s="2"/>
      <c r="E5" s="2"/>
      <c r="F5" s="2"/>
      <c r="G5" s="2"/>
      <c r="H5" s="2"/>
      <c r="I5" s="2"/>
      <c r="J5" s="2"/>
      <c r="K5" s="2"/>
      <c r="L5" s="2"/>
      <c r="M5" s="2"/>
      <c r="N5" s="2"/>
      <c r="O5" s="2"/>
      <c r="P5" s="2"/>
      <c r="Q5" s="2"/>
      <c r="R5" s="2"/>
      <c r="S5" s="2"/>
      <c r="T5" s="2"/>
      <c r="U5" s="2"/>
      <c r="V5" s="2"/>
      <c r="W5" s="2"/>
    </row>
    <row r="6" spans="1:23" x14ac:dyDescent="0.3">
      <c r="A6" s="2"/>
      <c r="B6" s="2"/>
      <c r="C6" s="2"/>
      <c r="D6" s="2"/>
      <c r="E6" s="2"/>
      <c r="F6" s="2"/>
      <c r="G6" s="2"/>
      <c r="H6" s="2"/>
      <c r="I6" s="2"/>
      <c r="J6" s="2"/>
      <c r="K6" s="2"/>
      <c r="L6" s="2"/>
      <c r="M6" s="2"/>
      <c r="N6" s="2"/>
      <c r="O6" s="2"/>
      <c r="P6" s="2"/>
      <c r="Q6" s="2"/>
      <c r="R6" s="2"/>
      <c r="S6" s="2"/>
      <c r="T6" s="2"/>
      <c r="U6" s="2"/>
      <c r="V6" s="2"/>
      <c r="W6" s="2"/>
    </row>
    <row r="7" spans="1:23" x14ac:dyDescent="0.3">
      <c r="A7" s="2"/>
      <c r="B7" s="2"/>
      <c r="C7" s="2"/>
      <c r="D7" s="2"/>
      <c r="E7" s="2"/>
      <c r="F7" s="2"/>
      <c r="G7" s="2"/>
      <c r="H7" s="2"/>
      <c r="I7" s="2"/>
      <c r="J7" s="2"/>
      <c r="K7" s="2"/>
      <c r="L7" s="2"/>
      <c r="M7" s="2"/>
      <c r="N7" s="2"/>
      <c r="O7" s="2"/>
      <c r="P7" s="2"/>
      <c r="Q7" s="2"/>
      <c r="R7" s="2"/>
      <c r="S7" s="2"/>
      <c r="T7" s="2"/>
      <c r="U7" s="2"/>
      <c r="V7" s="2"/>
      <c r="W7" s="2"/>
    </row>
    <row r="8" spans="1:23" x14ac:dyDescent="0.3">
      <c r="A8" s="2"/>
      <c r="B8" s="2"/>
      <c r="C8" s="2"/>
      <c r="D8" s="2"/>
      <c r="E8" s="2"/>
      <c r="F8" s="2"/>
      <c r="G8" s="2"/>
      <c r="H8" s="2"/>
      <c r="I8" s="2"/>
      <c r="J8" s="2"/>
      <c r="K8" s="2"/>
      <c r="L8" s="2"/>
      <c r="M8" s="2"/>
      <c r="N8" s="2"/>
      <c r="O8" s="2"/>
      <c r="P8" s="2"/>
      <c r="Q8" s="2"/>
      <c r="R8" s="2"/>
      <c r="S8" s="2"/>
      <c r="T8" s="2"/>
      <c r="U8" s="2"/>
      <c r="V8" s="2"/>
      <c r="W8" s="2"/>
    </row>
    <row r="9" spans="1:23" x14ac:dyDescent="0.3">
      <c r="A9" s="2"/>
      <c r="B9" s="2"/>
      <c r="C9" s="2"/>
      <c r="D9" s="2"/>
      <c r="E9" s="2"/>
      <c r="F9" s="2"/>
      <c r="G9" s="2"/>
      <c r="H9" s="2"/>
      <c r="I9" s="2"/>
      <c r="J9" s="2"/>
      <c r="K9" s="2"/>
      <c r="L9" s="2"/>
      <c r="M9" s="2"/>
      <c r="N9" s="2"/>
      <c r="O9" s="2"/>
      <c r="P9" s="2"/>
      <c r="Q9" s="2"/>
      <c r="R9" s="2"/>
      <c r="S9" s="2"/>
      <c r="T9" s="2"/>
      <c r="U9" s="2"/>
      <c r="V9" s="2"/>
      <c r="W9" s="2"/>
    </row>
    <row r="10" spans="1:23" x14ac:dyDescent="0.3">
      <c r="A10" s="2"/>
      <c r="B10" s="2"/>
      <c r="C10" s="2"/>
      <c r="D10" s="2"/>
      <c r="E10" s="2"/>
      <c r="F10" s="2"/>
      <c r="G10" s="2"/>
      <c r="H10" s="2"/>
      <c r="I10" s="2"/>
      <c r="J10" s="2"/>
      <c r="K10" s="2"/>
      <c r="L10" s="2"/>
      <c r="M10" s="2"/>
      <c r="N10" s="2"/>
      <c r="O10" s="2"/>
      <c r="P10" s="2"/>
      <c r="Q10" s="2"/>
      <c r="R10" s="2"/>
      <c r="S10" s="2"/>
      <c r="T10" s="2"/>
      <c r="U10" s="2"/>
      <c r="V10" s="2"/>
      <c r="W10" s="2"/>
    </row>
    <row r="11" spans="1:23" x14ac:dyDescent="0.3">
      <c r="A11" s="2"/>
      <c r="B11" s="2"/>
      <c r="C11" s="2"/>
      <c r="D11" s="2"/>
      <c r="E11" s="2"/>
      <c r="F11" s="2"/>
      <c r="G11" s="2"/>
      <c r="H11" s="2"/>
      <c r="I11" s="2"/>
      <c r="J11" s="2"/>
      <c r="K11" s="2"/>
      <c r="L11" s="2"/>
      <c r="M11" s="2"/>
      <c r="N11" s="2"/>
      <c r="O11" s="2"/>
      <c r="P11" s="2"/>
      <c r="Q11" s="2"/>
      <c r="R11" s="2"/>
      <c r="S11" s="2"/>
      <c r="T11" s="2"/>
      <c r="U11" s="2"/>
      <c r="V11" s="2"/>
      <c r="W11" s="2"/>
    </row>
    <row r="12" spans="1:23" x14ac:dyDescent="0.3">
      <c r="A12" s="2"/>
      <c r="B12" s="2"/>
      <c r="C12" s="2"/>
      <c r="D12" s="2"/>
      <c r="E12" s="2"/>
      <c r="F12" s="2"/>
      <c r="G12" s="2"/>
      <c r="H12" s="2"/>
      <c r="I12" s="2"/>
      <c r="J12" s="2"/>
      <c r="K12" s="2"/>
      <c r="L12" s="2"/>
      <c r="M12" s="2"/>
      <c r="N12" s="2"/>
      <c r="O12" s="2"/>
      <c r="P12" s="2"/>
      <c r="Q12" s="2"/>
      <c r="R12" s="2"/>
      <c r="S12" s="2"/>
      <c r="T12" s="2"/>
      <c r="U12" s="2"/>
      <c r="V12" s="2"/>
      <c r="W12" s="2"/>
    </row>
    <row r="13" spans="1:23" x14ac:dyDescent="0.3">
      <c r="A13" s="2"/>
      <c r="B13" s="2"/>
      <c r="C13" s="2"/>
      <c r="D13" s="2"/>
      <c r="E13" s="2"/>
      <c r="F13" s="2"/>
      <c r="G13" s="2"/>
      <c r="H13" s="2"/>
      <c r="I13" s="2"/>
      <c r="J13" s="2"/>
      <c r="K13" s="2"/>
      <c r="L13" s="2"/>
      <c r="M13" s="2"/>
      <c r="N13" s="2"/>
      <c r="O13" s="2"/>
      <c r="P13" s="2"/>
      <c r="Q13" s="2"/>
      <c r="R13" s="2"/>
      <c r="S13" s="2"/>
      <c r="T13" s="2"/>
      <c r="U13" s="2"/>
      <c r="V13" s="2"/>
      <c r="W13" s="2"/>
    </row>
    <row r="14" spans="1:23" x14ac:dyDescent="0.3">
      <c r="A14" s="2"/>
      <c r="B14" s="2"/>
      <c r="C14" s="2"/>
      <c r="D14" s="2"/>
      <c r="E14" s="2"/>
      <c r="F14" s="2"/>
      <c r="G14" s="2"/>
      <c r="H14" s="2"/>
      <c r="I14" s="2"/>
      <c r="J14" s="2"/>
      <c r="K14" s="2"/>
      <c r="L14" s="2"/>
      <c r="M14" s="2"/>
      <c r="N14" s="2"/>
      <c r="O14" s="2"/>
      <c r="P14" s="2"/>
      <c r="Q14" s="2"/>
      <c r="R14" s="2"/>
      <c r="S14" s="2"/>
      <c r="T14" s="2"/>
      <c r="U14" s="2"/>
      <c r="V14" s="2"/>
      <c r="W14" s="2"/>
    </row>
    <row r="15" spans="1:23" x14ac:dyDescent="0.3">
      <c r="A15" s="2"/>
      <c r="B15" s="2"/>
      <c r="C15" s="2"/>
      <c r="D15" s="2"/>
      <c r="E15" s="2"/>
      <c r="F15" s="2"/>
      <c r="G15" s="2"/>
      <c r="H15" s="2"/>
      <c r="I15" s="2"/>
      <c r="J15" s="2"/>
      <c r="K15" s="2"/>
      <c r="L15" s="2"/>
      <c r="M15" s="2"/>
      <c r="N15" s="2"/>
      <c r="O15" s="2"/>
      <c r="P15" s="2"/>
      <c r="Q15" s="2"/>
      <c r="R15" s="2"/>
      <c r="S15" s="2"/>
      <c r="T15" s="2"/>
      <c r="U15" s="2"/>
      <c r="V15" s="2"/>
      <c r="W15" s="2"/>
    </row>
    <row r="16" spans="1:23" x14ac:dyDescent="0.3">
      <c r="A16" s="2"/>
      <c r="B16" s="2"/>
      <c r="C16" s="2"/>
      <c r="D16" s="2"/>
      <c r="E16" s="2"/>
      <c r="F16" s="2"/>
      <c r="G16" s="2"/>
      <c r="H16" s="2"/>
      <c r="I16" s="2"/>
      <c r="J16" s="2"/>
      <c r="K16" s="2"/>
      <c r="L16" s="2"/>
      <c r="M16" s="2"/>
      <c r="N16" s="2"/>
      <c r="O16" s="2"/>
      <c r="P16" s="2"/>
      <c r="Q16" s="2"/>
      <c r="R16" s="2"/>
      <c r="S16" s="2"/>
      <c r="T16" s="2"/>
      <c r="U16" s="2"/>
      <c r="V16" s="2"/>
      <c r="W16" s="2"/>
    </row>
    <row r="17" spans="1:23" x14ac:dyDescent="0.3">
      <c r="A17" s="2"/>
      <c r="B17" s="2"/>
      <c r="C17" s="2"/>
      <c r="D17" s="2"/>
      <c r="E17" s="2"/>
      <c r="F17" s="2"/>
      <c r="G17" s="2"/>
      <c r="H17" s="2"/>
      <c r="I17" s="2"/>
      <c r="J17" s="2"/>
      <c r="K17" s="2"/>
      <c r="L17" s="2"/>
      <c r="M17" s="2"/>
      <c r="N17" s="2"/>
      <c r="O17" s="2"/>
      <c r="P17" s="2"/>
      <c r="Q17" s="2"/>
      <c r="R17" s="2"/>
      <c r="S17" s="2"/>
      <c r="T17" s="2"/>
      <c r="U17" s="2"/>
      <c r="V17" s="2"/>
      <c r="W17" s="2"/>
    </row>
    <row r="18" spans="1:23" x14ac:dyDescent="0.3">
      <c r="A18" s="2"/>
      <c r="B18" s="2"/>
      <c r="C18" s="2"/>
      <c r="D18" s="2"/>
      <c r="E18" s="2"/>
      <c r="F18" s="2"/>
      <c r="G18" s="2"/>
      <c r="H18" s="2"/>
      <c r="I18" s="2"/>
      <c r="J18" s="2"/>
      <c r="K18" s="2"/>
      <c r="L18" s="2"/>
      <c r="M18" s="2"/>
      <c r="N18" s="2"/>
      <c r="O18" s="2"/>
      <c r="P18" s="2"/>
      <c r="Q18" s="2"/>
      <c r="R18" s="2"/>
      <c r="S18" s="2"/>
      <c r="T18" s="2"/>
      <c r="U18" s="2"/>
      <c r="V18" s="2"/>
      <c r="W18" s="2"/>
    </row>
    <row r="19" spans="1:23" x14ac:dyDescent="0.3">
      <c r="A19" s="2"/>
      <c r="B19" s="2"/>
      <c r="C19" s="2"/>
      <c r="D19" s="2"/>
      <c r="E19" s="2"/>
      <c r="F19" s="2"/>
      <c r="G19" s="2"/>
      <c r="H19" s="2"/>
      <c r="I19" s="2"/>
      <c r="J19" s="2"/>
      <c r="K19" s="2"/>
      <c r="L19" s="2"/>
      <c r="M19" s="2"/>
      <c r="N19" s="2"/>
      <c r="O19" s="2"/>
      <c r="P19" s="2"/>
      <c r="Q19" s="2"/>
      <c r="R19" s="2"/>
      <c r="S19" s="2"/>
      <c r="T19" s="2"/>
      <c r="U19" s="2"/>
      <c r="V19" s="2"/>
      <c r="W19" s="2"/>
    </row>
    <row r="20" spans="1:23" x14ac:dyDescent="0.3">
      <c r="A20" s="2"/>
      <c r="B20" s="2"/>
      <c r="C20" s="2"/>
      <c r="D20" s="2"/>
      <c r="E20" s="2"/>
      <c r="F20" s="2"/>
      <c r="G20" s="2"/>
      <c r="H20" s="2"/>
      <c r="I20" s="2"/>
      <c r="J20" s="2"/>
      <c r="K20" s="2"/>
      <c r="L20" s="2"/>
      <c r="M20" s="2"/>
      <c r="N20" s="2"/>
      <c r="O20" s="2"/>
      <c r="P20" s="2"/>
      <c r="Q20" s="2"/>
      <c r="R20" s="2"/>
      <c r="S20" s="2"/>
      <c r="T20" s="2"/>
      <c r="U20" s="2"/>
      <c r="V20" s="2"/>
      <c r="W20" s="2"/>
    </row>
    <row r="21" spans="1:23" x14ac:dyDescent="0.3">
      <c r="A21" s="2"/>
      <c r="B21" s="2"/>
      <c r="C21" s="2"/>
      <c r="D21" s="2"/>
      <c r="E21" s="2"/>
      <c r="F21" s="2"/>
      <c r="G21" s="2"/>
      <c r="H21" s="2"/>
      <c r="I21" s="2"/>
      <c r="J21" s="2"/>
      <c r="K21" s="2"/>
      <c r="L21" s="2"/>
      <c r="M21" s="2"/>
      <c r="N21" s="2"/>
      <c r="O21" s="2"/>
      <c r="P21" s="2"/>
      <c r="Q21" s="2"/>
      <c r="R21" s="2"/>
      <c r="S21" s="2"/>
      <c r="T21" s="2"/>
      <c r="U21" s="2"/>
      <c r="V21" s="2"/>
      <c r="W21" s="2"/>
    </row>
    <row r="22" spans="1:23" x14ac:dyDescent="0.3">
      <c r="A22" s="2"/>
      <c r="B22" s="2"/>
      <c r="C22" s="2"/>
      <c r="D22" s="2"/>
      <c r="E22" s="2"/>
      <c r="F22" s="2"/>
      <c r="G22" s="2"/>
      <c r="H22" s="2"/>
      <c r="I22" s="2"/>
      <c r="J22" s="2"/>
      <c r="K22" s="2"/>
      <c r="L22" s="2"/>
      <c r="M22" s="2"/>
      <c r="N22" s="2"/>
      <c r="O22" s="2"/>
      <c r="P22" s="2"/>
      <c r="Q22" s="2"/>
      <c r="R22" s="2"/>
      <c r="S22" s="2"/>
      <c r="T22" s="2"/>
      <c r="U22" s="2"/>
      <c r="V22" s="2"/>
      <c r="W22" s="2"/>
    </row>
    <row r="23" spans="1:23" x14ac:dyDescent="0.3">
      <c r="A23" s="2"/>
      <c r="B23" s="2"/>
      <c r="C23" s="2"/>
      <c r="D23" s="2"/>
      <c r="E23" s="2"/>
      <c r="F23" s="2"/>
      <c r="G23" s="2"/>
      <c r="H23" s="2"/>
      <c r="I23" s="2"/>
      <c r="J23" s="2"/>
      <c r="K23" s="2"/>
      <c r="L23" s="2"/>
      <c r="M23" s="2"/>
      <c r="N23" s="2"/>
      <c r="O23" s="2"/>
      <c r="P23" s="2"/>
      <c r="Q23" s="2"/>
      <c r="R23" s="2"/>
      <c r="S23" s="2"/>
      <c r="T23" s="2"/>
      <c r="U23" s="2"/>
      <c r="V23" s="2"/>
      <c r="W23" s="2"/>
    </row>
    <row r="24" spans="1:23" x14ac:dyDescent="0.3">
      <c r="A24" s="2"/>
      <c r="B24" s="2"/>
      <c r="C24" s="2"/>
      <c r="D24" s="2"/>
      <c r="E24" s="2"/>
      <c r="F24" s="2"/>
      <c r="G24" s="2"/>
      <c r="H24" s="2"/>
      <c r="I24" s="2"/>
      <c r="J24" s="2"/>
      <c r="K24" s="2"/>
      <c r="L24" s="2"/>
      <c r="M24" s="2"/>
      <c r="N24" s="2"/>
      <c r="O24" s="2"/>
      <c r="P24" s="2"/>
      <c r="Q24" s="2"/>
      <c r="R24" s="2"/>
      <c r="S24" s="2"/>
      <c r="T24" s="2"/>
      <c r="U24" s="2"/>
      <c r="V24" s="2"/>
      <c r="W24" s="2"/>
    </row>
    <row r="25" spans="1:23" x14ac:dyDescent="0.3">
      <c r="A25" s="2"/>
      <c r="B25" s="2"/>
      <c r="C25" s="2"/>
      <c r="D25" s="2"/>
      <c r="E25" s="2"/>
      <c r="F25" s="2"/>
      <c r="G25" s="2"/>
      <c r="H25" s="2"/>
      <c r="I25" s="2"/>
      <c r="J25" s="2"/>
      <c r="K25" s="2"/>
      <c r="L25" s="2"/>
      <c r="M25" s="2"/>
      <c r="N25" s="2"/>
      <c r="O25" s="2"/>
      <c r="P25" s="2"/>
      <c r="Q25" s="2"/>
      <c r="R25" s="2"/>
      <c r="S25" s="2"/>
      <c r="T25" s="2"/>
      <c r="U25" s="2"/>
      <c r="V25" s="2"/>
      <c r="W25" s="2"/>
    </row>
    <row r="26" spans="1:23" x14ac:dyDescent="0.3">
      <c r="A26" s="2"/>
      <c r="B26" s="2"/>
      <c r="C26" s="2"/>
      <c r="D26" s="2"/>
      <c r="E26" s="2"/>
      <c r="F26" s="2"/>
      <c r="G26" s="2"/>
      <c r="H26" s="2"/>
      <c r="I26" s="2"/>
      <c r="J26" s="2"/>
      <c r="K26" s="2"/>
      <c r="L26" s="2"/>
      <c r="M26" s="2"/>
      <c r="N26" s="2"/>
      <c r="O26" s="2"/>
      <c r="P26" s="2"/>
      <c r="Q26" s="2"/>
      <c r="R26" s="2"/>
      <c r="S26" s="2"/>
      <c r="T26" s="2"/>
      <c r="U26" s="2"/>
      <c r="V26" s="2"/>
      <c r="W26" s="2"/>
    </row>
    <row r="27" spans="1:23" x14ac:dyDescent="0.3">
      <c r="A27" s="2"/>
      <c r="B27" s="2"/>
      <c r="C27" s="2"/>
      <c r="D27" s="2"/>
      <c r="E27" s="2"/>
      <c r="F27" s="2"/>
      <c r="G27" s="2"/>
      <c r="H27" s="2"/>
      <c r="I27" s="2"/>
      <c r="J27" s="2"/>
      <c r="K27" s="2"/>
      <c r="L27" s="2"/>
      <c r="M27" s="2"/>
      <c r="N27" s="2"/>
      <c r="O27" s="2"/>
      <c r="P27" s="2"/>
      <c r="Q27" s="2"/>
      <c r="R27" s="2"/>
      <c r="S27" s="2"/>
      <c r="T27" s="2"/>
      <c r="U27" s="2"/>
      <c r="V27" s="2"/>
      <c r="W27"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Props1.xml><?xml version="1.0" encoding="utf-8"?>
<ds:datastoreItem xmlns:ds="http://schemas.openxmlformats.org/officeDocument/2006/customXml" ds:itemID="{1FE53643-B9EA-4207-90BE-281574A3DF5C}">
  <ds:schemaRefs/>
</ds:datastoreItem>
</file>

<file path=customXml/itemProps2.xml><?xml version="1.0" encoding="utf-8"?>
<ds:datastoreItem xmlns:ds="http://schemas.openxmlformats.org/officeDocument/2006/customXml" ds:itemID="{E4789BE2-9485-4BB2-BFC9-6EFAFB5F4AF7}">
  <ds:schemaRefs>
    <ds:schemaRef ds:uri="http://schemas.microsoft.com/DataMashup"/>
  </ds:schemaRefs>
</ds:datastoreItem>
</file>

<file path=customXml/itemProps3.xml><?xml version="1.0" encoding="utf-8"?>
<ds:datastoreItem xmlns:ds="http://schemas.openxmlformats.org/officeDocument/2006/customXml" ds:itemID="{6FBD4A25-EA30-47C8-841D-9F159A949909}">
  <ds:schemaRefs/>
</ds:datastoreItem>
</file>

<file path=customXml/itemProps4.xml><?xml version="1.0" encoding="utf-8"?>
<ds:datastoreItem xmlns:ds="http://schemas.openxmlformats.org/officeDocument/2006/customXml" ds:itemID="{A7776777-A637-454C-88A4-99DEA5334A3F}">
  <ds:schemaRefs/>
</ds:datastoreItem>
</file>

<file path=customXml/itemProps5.xml><?xml version="1.0" encoding="utf-8"?>
<ds:datastoreItem xmlns:ds="http://schemas.openxmlformats.org/officeDocument/2006/customXml" ds:itemID="{CB152BE2-C376-4C2D-A484-7C4649F57C59}">
  <ds:schemaRefs/>
</ds:datastoreItem>
</file>

<file path=customXml/itemProps6.xml><?xml version="1.0" encoding="utf-8"?>
<ds:datastoreItem xmlns:ds="http://schemas.openxmlformats.org/officeDocument/2006/customXml" ds:itemID="{1673B475-10D8-44AB-A132-C35E4E6280CE}">
  <ds:schemaRefs/>
</ds:datastoreItem>
</file>

<file path=customXml/itemProps7.xml><?xml version="1.0" encoding="utf-8"?>
<ds:datastoreItem xmlns:ds="http://schemas.openxmlformats.org/officeDocument/2006/customXml" ds:itemID="{AE96E66C-32C9-49E3-BD0D-CD1171583314}">
  <ds:schemaRefs/>
</ds:datastoreItem>
</file>

<file path=customXml/itemProps8.xml><?xml version="1.0" encoding="utf-8"?>
<ds:datastoreItem xmlns:ds="http://schemas.openxmlformats.org/officeDocument/2006/customXml" ds:itemID="{D821F001-C6ED-4DA3-9A0E-E3C4E51621DB}">
  <ds:schemaRefs/>
</ds:datastoreItem>
</file>

<file path=customXml/itemProps9.xml><?xml version="1.0" encoding="utf-8"?>
<ds:datastoreItem xmlns:ds="http://schemas.openxmlformats.org/officeDocument/2006/customXml" ds:itemID="{21145287-4920-4941-9DAE-954EB3ADC538}">
  <ds:schemaRefs/>
</ds:datastoreItem>
</file>

<file path=customXml/itemProps10.xml><?xml version="1.0" encoding="utf-8"?>
<ds:datastoreItem xmlns:ds="http://schemas.openxmlformats.org/officeDocument/2006/customXml" ds:itemID="{4E47F411-C544-40D3-AEF9-BAB07A65E8D2}">
  <ds:schemaRefs/>
</ds:datastoreItem>
</file>

<file path=customXml/itemProps11.xml><?xml version="1.0" encoding="utf-8"?>
<ds:datastoreItem xmlns:ds="http://schemas.openxmlformats.org/officeDocument/2006/customXml" ds:itemID="{BE952021-4264-4019-951F-B4BF31289086}">
  <ds:schemaRefs/>
</ds:datastoreItem>
</file>

<file path=customXml/itemProps12.xml><?xml version="1.0" encoding="utf-8"?>
<ds:datastoreItem xmlns:ds="http://schemas.openxmlformats.org/officeDocument/2006/customXml" ds:itemID="{B3AB1668-98A9-407C-B52D-7F2AC58EF150}">
  <ds:schemaRefs/>
</ds:datastoreItem>
</file>

<file path=customXml/itemProps13.xml><?xml version="1.0" encoding="utf-8"?>
<ds:datastoreItem xmlns:ds="http://schemas.openxmlformats.org/officeDocument/2006/customXml" ds:itemID="{AEB36D48-6C80-4E3B-BAAD-5073D0DF0BD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patient satisfaction</vt:lpstr>
      <vt:lpstr>daily er patient</vt:lpstr>
      <vt:lpstr>patient waittime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Payal Kumari</dc:creator>
  <cp:lastModifiedBy>Payal Kumari</cp:lastModifiedBy>
  <dcterms:created xsi:type="dcterms:W3CDTF">2026-04-26T14:11:22Z</dcterms:created>
  <dcterms:modified xsi:type="dcterms:W3CDTF">2026-04-29T11:22:06Z</dcterms:modified>
</cp:coreProperties>
</file>